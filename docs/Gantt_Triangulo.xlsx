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Gantt" sheetId="1" state="visible" r:id="rId1"/>
    <sheet name="Equipo" sheetId="2" state="visible" r:id="rId2"/>
    <sheet name="Carga de trabajo" sheetId="3" state="visible" r:id="rId3"/>
  </sheets>
  <definedNames>
    <definedName name="DiaSinTrabajo">46281</definedName>
    <definedName name="_xlnm.Print_Titles" localSheetId="0">'Gantt'!$5:$8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/mm/yy"/>
    <numFmt numFmtId="166" formatCode="0.0%"/>
  </numFmts>
  <fonts count="18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color rgb="FF000000"/>
      <sz val="15"/>
    </font>
    <font>
      <name val="Arial"/>
      <i val="1"/>
      <color rgb="FF6B7280"/>
      <sz val="10"/>
    </font>
    <font>
      <name val="Arial"/>
      <color rgb="FF008000"/>
      <sz val="10"/>
    </font>
    <font>
      <name val="Arial"/>
      <color rgb="FF008000"/>
      <sz val="9"/>
    </font>
    <font>
      <name val="Arial"/>
      <color rgb="FF000000"/>
      <sz val="9"/>
    </font>
    <font>
      <name val="Arial"/>
      <b val="1"/>
      <color rgb="FFFFFFFF"/>
      <sz val="8"/>
    </font>
    <font>
      <name val="Arial"/>
      <b val="1"/>
      <color rgb="FF374151"/>
      <sz val="8"/>
    </font>
    <font>
      <name val="Arial"/>
      <b val="1"/>
      <color rgb="FFFFFFFF"/>
      <sz val="9"/>
    </font>
    <font>
      <name val="Arial"/>
      <b val="1"/>
      <color rgb="FF111827"/>
      <sz val="8"/>
    </font>
    <font>
      <name val="Calibri"/>
      <family val="2"/>
      <color theme="1"/>
      <sz val="11"/>
      <scheme val="minor"/>
    </font>
    <font>
      <name val="Tahoma"/>
      <charset val="1"/>
      <b val="1"/>
      <color indexed="81"/>
      <sz val="9"/>
    </font>
  </fonts>
  <fills count="11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7C8795"/>
        <bgColor rgb="FF7C8795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374151"/>
        <bgColor rgb="FF374151"/>
      </patternFill>
    </fill>
    <fill>
      <patternFill patternType="solid">
        <fgColor rgb="FFD1D5DB"/>
        <bgColor rgb="FFD1D5D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16" fillId="0" borderId="0"/>
  </cellStyleXfs>
  <cellXfs count="48">
    <xf numFmtId="0" fontId="0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14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16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6" fillId="4" borderId="1" pivotButton="0" quotePrefix="0" xfId="0"/>
    <xf numFmtId="0" fontId="16" fillId="7" borderId="1" pivotButton="0" quotePrefix="0" xfId="0"/>
    <xf numFmtId="0" fontId="16" fillId="5" borderId="1" pivotButton="0" quotePrefix="0" xfId="0"/>
    <xf numFmtId="0" fontId="15" fillId="10" borderId="0" applyAlignment="1" pivotButton="0" quotePrefix="0" xfId="0">
      <alignment horizontal="center"/>
    </xf>
    <xf numFmtId="0" fontId="16" fillId="6" borderId="1" pivotButton="0" quotePrefix="0" xfId="0"/>
    <xf numFmtId="0" fontId="13" fillId="8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center" vertical="center"/>
    </xf>
    <xf numFmtId="0" fontId="16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165" fontId="3" fillId="0" borderId="2" applyAlignment="1" pivotButton="0" quotePrefix="0" xfId="0">
      <alignment horizontal="center" vertical="center"/>
    </xf>
    <xf numFmtId="0" fontId="1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14" fontId="3" fillId="0" borderId="0" pivotButton="0" quotePrefix="0" xfId="0"/>
    <xf numFmtId="0" fontId="4" fillId="3" borderId="2" pivotButton="0" quotePrefix="0" xfId="0"/>
    <xf numFmtId="0" fontId="9" fillId="0" borderId="2" pivotButton="0" quotePrefix="0" xfId="0"/>
    <xf numFmtId="0" fontId="16" fillId="0" borderId="2" applyAlignment="1" pivotButton="0" quotePrefix="0" xfId="0">
      <alignment horizontal="center"/>
    </xf>
    <xf numFmtId="166" fontId="16" fillId="0" borderId="2" applyAlignment="1" pivotButton="0" quotePrefix="0" xfId="0">
      <alignment horizontal="center"/>
    </xf>
    <xf numFmtId="0" fontId="4" fillId="4" borderId="2" pivotButton="0" quotePrefix="0" xfId="0"/>
    <xf numFmtId="0" fontId="4" fillId="5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0" fontId="4" fillId="2" borderId="2" applyAlignment="1" pivotButton="0" quotePrefix="0" xfId="0">
      <alignment horizontal="center" wrapText="1"/>
    </xf>
    <xf numFmtId="0" fontId="15" fillId="10" borderId="0" applyAlignment="1" pivotButton="0" quotePrefix="0" xfId="0">
      <alignment horizontal="center"/>
    </xf>
    <xf numFmtId="0" fontId="16" fillId="0" borderId="0" pivotButton="0" quotePrefix="0" xfId="0"/>
    <xf numFmtId="0" fontId="15" fillId="7" borderId="0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</cellXfs>
  <cellStyles count="1">
    <cellStyle name="Normal" xfId="0" builtinId="0"/>
  </cellStyles>
  <dxfs count="7">
    <dxf>
      <fill>
        <patternFill>
          <bgColor rgb="FFFFFFFF"/>
        </patternFill>
      </fill>
    </dxf>
    <dxf>
      <fill>
        <patternFill patternType="solid">
          <fgColor rgb="FF7C8795"/>
          <bgColor rgb="FF7C8795"/>
        </patternFill>
      </fill>
    </dxf>
    <dxf>
      <fill>
        <patternFill patternType="solid">
          <fgColor rgb="FF1BAF7A"/>
          <bgColor rgb="FF1BAF7A"/>
        </patternFill>
      </fill>
    </dxf>
    <dxf>
      <fill>
        <patternFill patternType="solid">
          <fgColor rgb="FFEB6834"/>
          <bgColor rgb="FFEB6834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D1D5DB"/>
          <bgColor rgb="FFD1D5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Días en tareas por sprint e integrante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'Carga de trabajo'!$B$12</f>
              <strCache>
                <ptCount val="1"/>
                <pt idx="0">
                  <v>Gunther Nettel Rosario</v>
                </pt>
              </strCache>
            </strRef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trabajo'!$A$13:$A$14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trabajo'!$B$13:$B$14</f>
              <numCache>
                <formatCode>General</formatCode>
                <ptCount val="5"/>
                <pt idx="0">
                  <v>4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</numCache>
            </numRef>
          </val>
        </ser>
        <ser>
          <idx val="1"/>
          <order val="1"/>
          <tx>
            <strRef>
              <f>'Carga de trabajo'!$C$12</f>
              <strCache>
                <ptCount val="1"/>
                <pt idx="0">
                  <v>Alberto Rasgado</v>
                </pt>
              </strCache>
            </strRef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trabajo'!$A$13:$A$14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trabajo'!$C$13:$C$14</f>
              <numCache>
                <formatCode>General</formatCode>
                <ptCount val="5"/>
                <pt idx="0">
                  <v>3</v>
                </pt>
                <pt idx="1">
                  <v>4</v>
                </pt>
                <pt idx="2">
                  <v>4</v>
                </pt>
                <pt idx="3">
                  <v>5</v>
                </pt>
                <pt idx="4">
                  <v>4</v>
                </pt>
              </numCache>
            </numRef>
          </val>
        </ser>
        <ser>
          <idx val="2"/>
          <order val="2"/>
          <tx>
            <strRef>
              <f>'Carga de trabajo'!$D$12</f>
              <strCache>
                <ptCount val="1"/>
                <pt idx="0">
                  <v>Ulises Chauk Arias Santiz</v>
                </pt>
              </strCache>
            </strRef>
          </tx>
          <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trabajo'!$A$13:$A$14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trabajo'!$D$13:$D$14</f>
              <numCache>
                <formatCode>General</formatCode>
                <ptCount val="5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-5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Días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  <majorUnit val="1"/>
      </valAx>
    </plotArea>
    <legend>
      <legendPos val="b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Gunther Nettel Rosario</author>
  </authors>
  <commentList>
    <comment ref="D4" authorId="0" shapeId="0">
      <text>
        <t>Días de inicio a fin de cada tarea, sin contar el 16/09/2026 (día vacío en el Gantt). Las tareas caen de lunes a viernes.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tabSelected="1" workbookViewId="0">
      <pane xSplit="7" ySplit="8" topLeftCell="H9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1" sqref="H1"/>
      <selection pane="bottomLeft" activeCell="A9" sqref="A9"/>
      <selection pane="bottomRight" activeCell="B25" sqref="B25"/>
    </sheetView>
  </sheetViews>
  <sheetFormatPr baseColWidth="10" defaultColWidth="8.88671875" defaultRowHeight="14.4"/>
  <cols>
    <col width="11" customWidth="1" min="1" max="1"/>
    <col width="62" customWidth="1" min="2" max="2"/>
    <col width="24" customWidth="1" min="3" max="3"/>
    <col width="11" customWidth="1" min="4" max="5"/>
    <col width="12" customWidth="1" min="6" max="6"/>
    <col width="2" customWidth="1" min="7" max="7"/>
    <col width="3.33203125" customWidth="1" min="8" max="19"/>
  </cols>
  <sheetData>
    <row r="1" ht="19.2" customHeight="1">
      <c r="A1" s="1" t="inlineStr">
        <is>
          <t>Diagrama de Gantt · Trazado de Triángulo (DDA y relleno)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</row>
    <row r="2">
      <c r="A2" s="3" t="inlineStr">
        <is>
          <t>Metodología Scrum · 2 sprints semanales - Aplicación de escritorio en Python (CustomTkinter + Matplotlib)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</row>
    <row r="3">
      <c r="A3" s="4" t="inlineStr">
        <is>
          <t>Inicio:</t>
        </is>
      </c>
      <c r="B3" s="5">
        <f>Equipo!B12</f>
        <v/>
      </c>
      <c r="C3" s="6" t="inlineStr">
        <is>
          <t>Fin:</t>
        </is>
      </c>
      <c r="D3" s="5">
        <f>Equipo!B13</f>
        <v/>
      </c>
      <c r="E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</row>
    <row r="4">
      <c r="A4" s="8" t="n"/>
      <c r="B4" s="9">
        <f>Equipo!B5</f>
        <v/>
      </c>
      <c r="C4" s="45" t="n"/>
      <c r="D4" s="12" t="n"/>
      <c r="E4" s="10" t="inlineStr">
        <is>
          <t>Fin de semana</t>
        </is>
      </c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</row>
    <row r="5">
      <c r="A5" s="11" t="n"/>
      <c r="B5" s="9">
        <f>Equipo!B6</f>
        <v/>
      </c>
      <c r="C5" s="45" t="n"/>
      <c r="F5" s="45" t="n"/>
      <c r="G5" s="45" t="n"/>
      <c r="H5" s="47" t="inlineStr">
        <is>
          <t>Septiembre 2026</t>
        </is>
      </c>
      <c r="K5" s="47" t="inlineStr">
        <is>
          <t>Octubre 2026</t>
        </is>
      </c>
    </row>
    <row r="6">
      <c r="A6" s="13" t="n"/>
      <c r="B6" s="9">
        <f>Equipo!B7</f>
        <v/>
      </c>
      <c r="C6" s="45" t="n"/>
      <c r="F6" s="45" t="n"/>
      <c r="G6" s="45" t="n"/>
      <c r="H6" s="46" t="inlineStr">
        <is>
          <t>Sem 7 · Sprint 5</t>
        </is>
      </c>
      <c r="O6" s="44" t="inlineStr">
        <is>
          <t>Sem 8 · Sprint 6</t>
        </is>
      </c>
    </row>
    <row r="7">
      <c r="A7" s="15" t="n"/>
      <c r="B7" s="9">
        <f>Equipo!B8</f>
        <v/>
      </c>
      <c r="C7" s="45" t="n"/>
      <c r="D7" s="45" t="n"/>
      <c r="E7" s="45" t="n"/>
      <c r="F7" s="45" t="n"/>
      <c r="G7" s="45" t="n"/>
      <c r="H7" s="16">
        <f>MID("LMXJVSD",WEEKDAY(H8,2),1)</f>
        <v/>
      </c>
      <c r="I7" s="16">
        <f>MID("LMXJVSD",WEEKDAY(I8,2),1)</f>
        <v/>
      </c>
      <c r="J7" s="16">
        <f>MID("LMXJVSD",WEEKDAY(J8,2),1)</f>
        <v/>
      </c>
      <c r="K7" s="16">
        <f>MID("LMXJVSD",WEEKDAY(K8,2),1)</f>
        <v/>
      </c>
      <c r="L7" s="16">
        <f>MID("LMXJVSD",WEEKDAY(L8,2),1)</f>
        <v/>
      </c>
      <c r="M7" s="16">
        <f>MID("LMXJVSD",WEEKDAY(M8,2),1)</f>
        <v/>
      </c>
      <c r="N7" s="16">
        <f>MID("LMXJVSD",WEEKDAY(N8,2),1)</f>
        <v/>
      </c>
      <c r="O7" s="16">
        <f>MID("LMXJVSD",WEEKDAY(O8,2),1)</f>
        <v/>
      </c>
      <c r="P7" s="16">
        <f>MID("LMXJVSD",WEEKDAY(P8,2),1)</f>
        <v/>
      </c>
      <c r="Q7" s="16">
        <f>MID("LMXJVSD",WEEKDAY(Q8,2),1)</f>
        <v/>
      </c>
      <c r="R7" s="16">
        <f>MID("LMXJVSD",WEEKDAY(R8,2),1)</f>
        <v/>
      </c>
      <c r="S7" s="16">
        <f>MID("LMXJVSD",WEEKDAY(S8,2),1)</f>
        <v/>
      </c>
    </row>
    <row r="8" ht="30" customHeight="1">
      <c r="A8" s="17" t="inlineStr">
        <is>
          <t>Sprint</t>
        </is>
      </c>
      <c r="B8" s="17" t="inlineStr">
        <is>
          <t>Tarea</t>
        </is>
      </c>
      <c r="C8" s="17" t="inlineStr">
        <is>
          <t>Responsable</t>
        </is>
      </c>
      <c r="D8" s="17" t="inlineStr">
        <is>
          <t>Inicio</t>
        </is>
      </c>
      <c r="E8" s="17" t="inlineStr">
        <is>
          <t>Fin</t>
        </is>
      </c>
      <c r="F8" s="17" t="inlineStr">
        <is>
          <t>Estado</t>
        </is>
      </c>
      <c r="G8" s="45" t="n"/>
      <c r="H8" s="18">
        <f>Equipo!$B$12</f>
        <v/>
      </c>
      <c r="I8" s="18">
        <f>H8+1</f>
        <v/>
      </c>
      <c r="J8" s="18">
        <f>I8+1</f>
        <v/>
      </c>
      <c r="K8" s="18">
        <f>J8+1</f>
        <v/>
      </c>
      <c r="L8" s="18">
        <f>K8+1</f>
        <v/>
      </c>
      <c r="M8" s="18">
        <f>L8+1</f>
        <v/>
      </c>
      <c r="N8" s="18">
        <f>M8+1</f>
        <v/>
      </c>
      <c r="O8" s="18">
        <f>N8+1</f>
        <v/>
      </c>
      <c r="P8" s="18">
        <f>O8+1</f>
        <v/>
      </c>
      <c r="Q8" s="18">
        <f>P8+1</f>
        <v/>
      </c>
      <c r="R8" s="18">
        <f>Q8+1</f>
        <v/>
      </c>
      <c r="S8" s="18">
        <f>R8+1</f>
        <v/>
      </c>
    </row>
    <row r="9" ht="18" customHeight="1">
      <c r="A9" s="20" t="inlineStr">
        <is>
          <t>Sprint 5</t>
        </is>
      </c>
      <c r="B9" s="21" t="inlineStr">
        <is>
          <t>Sprint Planning</t>
        </is>
      </c>
      <c r="C9" s="22">
        <f>Equipo!$B$8</f>
        <v/>
      </c>
      <c r="D9" s="23" t="n">
        <v>46293</v>
      </c>
      <c r="E9" s="23" t="n">
        <v>46293</v>
      </c>
      <c r="F9" s="20" t="inlineStr">
        <is>
          <t>Completado</t>
        </is>
      </c>
      <c r="G9" s="45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</row>
    <row r="10" ht="18" customHeight="1">
      <c r="A10" s="20" t="inlineStr">
        <is>
          <t>Sprint 5</t>
        </is>
      </c>
      <c r="B10" s="21" t="inlineStr">
        <is>
          <t>Investigación: área (Gauss), perímetro y clasificación de triángulos</t>
        </is>
      </c>
      <c r="C10" s="22">
        <f>Equipo!$B$6</f>
        <v/>
      </c>
      <c r="D10" s="23" t="n">
        <v>46294</v>
      </c>
      <c r="E10" s="23" t="n">
        <v>46296</v>
      </c>
      <c r="F10" s="20" t="inlineStr">
        <is>
          <t>Completado</t>
        </is>
      </c>
      <c r="G10" s="45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</row>
    <row r="11" ht="18" customHeight="1">
      <c r="A11" s="20" t="inlineStr">
        <is>
          <t>Sprint 5</t>
        </is>
      </c>
      <c r="B11" s="21" t="inlineStr">
        <is>
          <t>Tabla de casos DDA de las líneas del triángulo</t>
        </is>
      </c>
      <c r="C11" s="22">
        <f>Equipo!$B$7</f>
        <v/>
      </c>
      <c r="D11" s="23" t="n">
        <v>46294</v>
      </c>
      <c r="E11" s="23" t="n">
        <v>46297</v>
      </c>
      <c r="F11" s="20" t="inlineStr">
        <is>
          <t>Completado</t>
        </is>
      </c>
      <c r="G11" s="45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</row>
    <row r="12" ht="18" customHeight="1">
      <c r="A12" s="20" t="inlineStr">
        <is>
          <t>Sprint 5</t>
        </is>
      </c>
      <c r="B12" s="21" t="inlineStr">
        <is>
          <t>Zoom con la rueda y arrastre del plano cartesiano</t>
        </is>
      </c>
      <c r="C12" s="22">
        <f>Equipo!$B$5</f>
        <v/>
      </c>
      <c r="D12" s="23" t="n">
        <v>46294</v>
      </c>
      <c r="E12" s="23" t="n">
        <v>46297</v>
      </c>
      <c r="F12" s="20" t="inlineStr">
        <is>
          <t>Completado</t>
        </is>
      </c>
      <c r="G12" s="45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</row>
    <row r="13" ht="18" customHeight="1">
      <c r="A13" s="20" t="inlineStr">
        <is>
          <t>Sprint 5</t>
        </is>
      </c>
      <c r="B13" s="21" t="inlineStr">
        <is>
          <t>Sprint Review y Retrospectiva</t>
        </is>
      </c>
      <c r="C13" s="22">
        <f>Equipo!$B$8</f>
        <v/>
      </c>
      <c r="D13" s="23" t="n">
        <v>46297</v>
      </c>
      <c r="E13" s="23" t="n">
        <v>46297</v>
      </c>
      <c r="F13" s="20" t="inlineStr">
        <is>
          <t>Completado</t>
        </is>
      </c>
      <c r="G13" s="45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</row>
    <row r="14" ht="18" customHeight="1">
      <c r="A14" s="20" t="inlineStr">
        <is>
          <t>Sprint 6</t>
        </is>
      </c>
      <c r="B14" s="21" t="inlineStr">
        <is>
          <t>Sprint Planning</t>
        </is>
      </c>
      <c r="C14" s="22">
        <f>Equipo!$B$8</f>
        <v/>
      </c>
      <c r="D14" s="23" t="n">
        <v>46300</v>
      </c>
      <c r="E14" s="23" t="n">
        <v>46300</v>
      </c>
      <c r="F14" s="20" t="inlineStr">
        <is>
          <t>Completado</t>
        </is>
      </c>
      <c r="G14" s="45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</row>
    <row r="15" ht="18" customHeight="1">
      <c r="A15" s="20" t="inlineStr">
        <is>
          <t>Sprint 6</t>
        </is>
      </c>
      <c r="B15" s="21" t="inlineStr">
        <is>
          <t>Página del triángulo: 3 vértices, métricas y clasificación</t>
        </is>
      </c>
      <c r="C15" s="22">
        <f>Equipo!$B$6</f>
        <v/>
      </c>
      <c r="D15" s="23" t="n">
        <v>46300</v>
      </c>
      <c r="E15" s="23" t="n">
        <v>46303</v>
      </c>
      <c r="F15" s="20" t="inlineStr">
        <is>
          <t>Completado</t>
        </is>
      </c>
      <c r="G15" s="45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</row>
    <row r="16" ht="18" customHeight="1">
      <c r="A16" s="20" t="inlineStr">
        <is>
          <t>Sprint 6</t>
        </is>
      </c>
      <c r="B16" s="21" t="inlineStr">
        <is>
          <t>Lados AB, BC y CA con DDA y tabla por línea</t>
        </is>
      </c>
      <c r="C16" s="22">
        <f>Equipo!$B$5</f>
        <v/>
      </c>
      <c r="D16" s="23" t="n">
        <v>46301</v>
      </c>
      <c r="E16" s="23" t="n">
        <v>46302</v>
      </c>
      <c r="F16" s="20" t="inlineStr">
        <is>
          <t>Completado</t>
        </is>
      </c>
      <c r="G16" s="45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</row>
    <row r="17" ht="18" customHeight="1">
      <c r="A17" s="20" t="inlineStr">
        <is>
          <t>Sprint 6</t>
        </is>
      </c>
      <c r="B17" s="21" t="inlineStr">
        <is>
          <t>Relleno DDA desde cada vértice y ajuste al contorno</t>
        </is>
      </c>
      <c r="C17" s="22">
        <f>Equipo!$B$5</f>
        <v/>
      </c>
      <c r="D17" s="23" t="n">
        <v>46303</v>
      </c>
      <c r="E17" s="23" t="n">
        <v>46304</v>
      </c>
      <c r="F17" s="20" t="inlineStr">
        <is>
          <t>Completado</t>
        </is>
      </c>
      <c r="G17" s="45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</row>
    <row r="18" ht="18" customHeight="1">
      <c r="A18" s="20" t="inlineStr">
        <is>
          <t>Sprint 6</t>
        </is>
      </c>
      <c r="B18" s="21" t="inlineStr">
        <is>
          <t>Diagrama de flujo del triángulo</t>
        </is>
      </c>
      <c r="C18" s="22">
        <f>Equipo!$B$7</f>
        <v/>
      </c>
      <c r="D18" s="23" t="n">
        <v>46301</v>
      </c>
      <c r="E18" s="23" t="n">
        <v>46304</v>
      </c>
      <c r="F18" s="20" t="inlineStr">
        <is>
          <t>Completado</t>
        </is>
      </c>
      <c r="G18" s="45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</row>
    <row r="19" ht="18" customHeight="1">
      <c r="A19" s="20" t="inlineStr">
        <is>
          <t>Sprint 6</t>
        </is>
      </c>
      <c r="B19" s="21" t="inlineStr">
        <is>
          <t>Sprint Review y Retrospectiva</t>
        </is>
      </c>
      <c r="C19" s="22">
        <f>Equipo!$B$8</f>
        <v/>
      </c>
      <c r="D19" s="23" t="n">
        <v>46304</v>
      </c>
      <c r="E19" s="23" t="n">
        <v>46304</v>
      </c>
      <c r="F19" s="20" t="inlineStr">
        <is>
          <t>Completado</t>
        </is>
      </c>
      <c r="G19" s="45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</sheetData>
  <mergeCells count="4">
    <mergeCell ref="H5:J5"/>
    <mergeCell ref="K5:S5"/>
    <mergeCell ref="O6:S6"/>
    <mergeCell ref="H6:N6"/>
  </mergeCells>
  <conditionalFormatting sqref="H7:S7">
    <cfRule type="expression" priority="10" dxfId="6">
      <formula>WEEKDAY(H$8,2)&gt;5</formula>
    </cfRule>
  </conditionalFormatting>
  <conditionalFormatting sqref="H9:S19">
    <cfRule type="expression" priority="2" dxfId="5" stopIfTrue="1">
      <formula>WEEKDAY(H$8,2)&gt;5</formula>
    </cfRule>
    <cfRule type="expression" priority="5" dxfId="4" stopIfTrue="1">
      <formula>AND($C9=$B$4,AND(H$8&gt;=$D9,H$8&lt;=$E9))</formula>
    </cfRule>
    <cfRule type="expression" priority="6" dxfId="3" stopIfTrue="1">
      <formula>AND($C9=$B$5,AND(H$8&gt;=$D9,H$8&lt;=$E9))</formula>
    </cfRule>
    <cfRule type="expression" priority="7" dxfId="2" stopIfTrue="1">
      <formula>AND($C9=$B$6,AND(H$8&gt;=$D9,H$8&lt;=$E9))</formula>
    </cfRule>
    <cfRule type="expression" priority="8" dxfId="1" stopIfTrue="1">
      <formula>AND($C9=$B$7,AND(H$8&gt;=$D9,H$8&lt;=$E9))</formula>
    </cfRule>
    <cfRule type="expression" priority="1" dxfId="0" stopIfTrue="1">
      <formula>H$8=DiaSinTrabajo</formula>
    </cfRule>
  </conditionalFormatting>
  <dataValidations count="1">
    <dataValidation sqref="C9:C19" showDropDown="0" showInputMessage="0" showErrorMessage="0" allowBlank="1" type="list">
      <formula1>Equipo!$B$5:$B$8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10" defaultColWidth="8.88671875" defaultRowHeight="14.4"/>
  <cols>
    <col width="16" customWidth="1" min="1" max="1"/>
    <col width="26" customWidth="1" min="2" max="2"/>
    <col width="30" customWidth="1" min="3" max="3"/>
    <col width="115.44140625" customWidth="1" min="4" max="4"/>
  </cols>
  <sheetData>
    <row r="1" ht="17.4" customHeight="1">
      <c r="A1" s="24" t="inlineStr">
        <is>
          <t>Equipo del proyecto y parámetros</t>
        </is>
      </c>
      <c r="B1" s="45" t="n"/>
      <c r="C1" s="45" t="n"/>
      <c r="D1" s="45" t="n"/>
    </row>
    <row r="2">
      <c r="A2" s="45" t="n"/>
      <c r="B2" s="45" t="n"/>
      <c r="C2" s="45" t="n"/>
      <c r="D2" s="45" t="n"/>
    </row>
    <row r="3">
      <c r="A3" s="45" t="n"/>
      <c r="B3" s="45" t="n"/>
      <c r="C3" s="45" t="n"/>
      <c r="D3" s="45" t="n"/>
    </row>
    <row r="4">
      <c r="A4" s="25" t="inlineStr">
        <is>
          <t>Clave</t>
        </is>
      </c>
      <c r="B4" s="25" t="inlineStr">
        <is>
          <t>Integrante</t>
        </is>
      </c>
      <c r="C4" s="25" t="inlineStr">
        <is>
          <t>Rol en Scrum</t>
        </is>
      </c>
      <c r="D4" s="25" t="inlineStr">
        <is>
          <t>Responsabilidades principales</t>
        </is>
      </c>
    </row>
    <row r="5">
      <c r="A5" s="26" t="inlineStr">
        <is>
          <t>P1</t>
        </is>
      </c>
      <c r="B5" s="27" t="inlineStr">
        <is>
          <t>Gunther Nettel Rosario</t>
        </is>
      </c>
      <c r="C5" s="27" t="inlineStr">
        <is>
          <t>Scrum Master - Desarrollador</t>
        </is>
      </c>
      <c r="D5" s="28" t="inlineStr">
        <is>
          <t>Arquitectura (main.py), plano cartesiano Matplotlib, recta vertical y punto único, repositorio, pruebas automatizadas</t>
        </is>
      </c>
    </row>
    <row r="6">
      <c r="A6" s="29" t="inlineStr">
        <is>
          <t>P2</t>
        </is>
      </c>
      <c r="B6" s="27" t="inlineStr">
        <is>
          <t>Alberto Rasgado</t>
        </is>
      </c>
      <c r="C6" s="27" t="inlineStr">
        <is>
          <t>Desarrollador</t>
        </is>
      </c>
      <c r="D6" s="28" t="inlineStr">
        <is>
          <t>Lógica matemática de la recta, trayectoria, tabla CTkTable, clasificación de casos (4 positivos, 4 negativos, 3 especiales), rediseño visual</t>
        </is>
      </c>
    </row>
    <row r="7">
      <c r="A7" s="30" t="inlineStr">
        <is>
          <t>P3</t>
        </is>
      </c>
      <c r="B7" s="27" t="inlineStr">
        <is>
          <t>Ulises Chauk Arias Santiz</t>
        </is>
      </c>
      <c r="C7" s="27" t="inlineStr">
        <is>
          <t>Desarrollador</t>
        </is>
      </c>
      <c r="D7" s="28" t="inlineStr">
        <is>
          <t>Navegación, iconos vectoriales, formulario, tarjetas analíticas, franja de caso detectado, temas, documentación</t>
        </is>
      </c>
    </row>
    <row r="8">
      <c r="A8" s="31" t="inlineStr">
        <is>
          <t>EQ</t>
        </is>
      </c>
      <c r="B8" s="28" t="inlineStr">
        <is>
          <t>Todo el equipo</t>
        </is>
      </c>
      <c r="C8" s="28" t="inlineStr">
        <is>
          <t>—</t>
        </is>
      </c>
      <c r="D8" s="28" t="inlineStr">
        <is>
          <t>Ceremonias Scrum (planning, review, retro) y entrega</t>
        </is>
      </c>
    </row>
    <row r="9">
      <c r="A9" s="45" t="n"/>
      <c r="B9" s="45" t="n"/>
      <c r="C9" s="45" t="n"/>
      <c r="D9" s="45" t="n"/>
    </row>
    <row r="10">
      <c r="A10" s="45" t="n"/>
      <c r="B10" s="45" t="n"/>
      <c r="C10" s="45" t="n"/>
      <c r="D10" s="45" t="n"/>
    </row>
    <row r="11" ht="15.6" customHeight="1">
      <c r="A11" s="32" t="inlineStr">
        <is>
          <t>Parámetros del proyecto</t>
        </is>
      </c>
      <c r="B11" s="45" t="n"/>
      <c r="C11" s="45" t="n"/>
      <c r="D11" s="45" t="n"/>
    </row>
    <row r="12">
      <c r="A12" s="7" t="inlineStr">
        <is>
          <t>Fecha de inicio</t>
        </is>
      </c>
      <c r="B12" s="33" t="n">
        <v>46293</v>
      </c>
      <c r="C12" s="45" t="n"/>
      <c r="D12" s="45" t="n"/>
    </row>
    <row r="13">
      <c r="A13" s="7" t="inlineStr">
        <is>
          <t>Fecha de fin</t>
        </is>
      </c>
      <c r="B13" s="33" t="n">
        <v>46304</v>
      </c>
      <c r="C13" s="45" t="n"/>
      <c r="D13" s="45" t="n"/>
    </row>
    <row r="14">
      <c r="A14" s="7" t="inlineStr">
        <is>
          <t>Metodología</t>
        </is>
      </c>
      <c r="B14" s="45" t="inlineStr">
        <is>
          <t>Scrum - sprints de 1 semana (lun–vie)</t>
        </is>
      </c>
      <c r="C14" s="45" t="n"/>
      <c r="D14" s="45" t="n"/>
    </row>
    <row r="15">
      <c r="C15" s="45" t="n"/>
      <c r="D15" s="45" t="n"/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10" defaultColWidth="8.88671875" defaultRowHeight="14.4"/>
  <cols>
    <col width="26" customWidth="1" min="1" max="1"/>
    <col width="30" customWidth="1" min="2" max="2"/>
    <col width="14" customWidth="1" min="3" max="6"/>
  </cols>
  <sheetData>
    <row r="1" ht="17.4" customHeight="1">
      <c r="A1" s="24" t="inlineStr">
        <is>
          <t>Distribución de la carga de trabajo</t>
        </is>
      </c>
      <c r="B1" s="45" t="n"/>
      <c r="C1" s="45" t="n"/>
      <c r="D1" s="45" t="n"/>
      <c r="E1" s="45" t="n"/>
      <c r="F1" s="45" t="n"/>
    </row>
    <row r="2">
      <c r="A2" s="45" t="n"/>
      <c r="B2" s="45" t="n"/>
      <c r="C2" s="45" t="n"/>
      <c r="D2" s="45" t="n"/>
      <c r="E2" s="45" t="n"/>
      <c r="F2" s="45" t="n"/>
    </row>
    <row r="3">
      <c r="A3" s="45" t="n"/>
      <c r="B3" s="45" t="n"/>
      <c r="C3" s="45" t="n"/>
      <c r="D3" s="45" t="n"/>
      <c r="E3" s="45" t="n"/>
      <c r="F3" s="45" t="n"/>
    </row>
    <row r="4" ht="30" customHeight="1">
      <c r="A4" s="17" t="inlineStr">
        <is>
          <t>Integrante</t>
        </is>
      </c>
      <c r="B4" s="17" t="inlineStr">
        <is>
          <t>Rol</t>
        </is>
      </c>
      <c r="C4" s="17" t="inlineStr">
        <is>
          <t>Tareas asignadas</t>
        </is>
      </c>
      <c r="D4" s="17" t="inlineStr">
        <is>
          <t>Días en tareas</t>
        </is>
      </c>
      <c r="E4" s="17" t="inlineStr">
        <is>
          <t>% de la carga</t>
        </is>
      </c>
      <c r="F4" s="17" t="inlineStr">
        <is>
          <t>Reuniones de equipo</t>
        </is>
      </c>
    </row>
    <row r="5">
      <c r="A5" s="34">
        <f>Equipo!B5</f>
        <v/>
      </c>
      <c r="B5" s="35">
        <f>Equipo!C5</f>
        <v/>
      </c>
      <c r="C5" s="36">
        <f>COUNTIF(Gantt!$C$9:$C$19,A5)</f>
        <v/>
      </c>
      <c r="D5" s="36">
        <f>SUMPRODUCT((Gantt!$C$9:$C$19=A5)*(Gantt!$E$9:$E$19-Gantt!$D$9:$D$19+1))-COUNTIFS(Gantt!$C$9:$C$19,A5,Gantt!$D$9:$D$19,"&lt;="&amp;DiaSinTrabajo,Gantt!$E$9:$E$19,"&gt;="&amp;DiaSinTrabajo)</f>
        <v/>
      </c>
      <c r="E5" s="37">
        <f>IF(SUM($D$5:$D$7)=0,0,D5/SUM($D$5:$D$7))</f>
        <v/>
      </c>
      <c r="F5" s="36">
        <f>COUNTIF(Gantt!$C$9:$C$19,Equipo!$B$8)</f>
        <v/>
      </c>
    </row>
    <row r="6">
      <c r="A6" s="38">
        <f>Equipo!B6</f>
        <v/>
      </c>
      <c r="B6" s="35">
        <f>Equipo!C6</f>
        <v/>
      </c>
      <c r="C6" s="36">
        <f>COUNTIF(Gantt!$C$9:$C$19,A6)</f>
        <v/>
      </c>
      <c r="D6" s="36">
        <f>SUMPRODUCT((Gantt!$C$9:$C$19=A6)*(Gantt!$E$9:$E$19-Gantt!$D$9:$D$19+1))-COUNTIFS(Gantt!$C$9:$C$19,A6,Gantt!$D$9:$D$19,"&lt;="&amp;DiaSinTrabajo,Gantt!$E$9:$E$19,"&gt;="&amp;DiaSinTrabajo)</f>
        <v/>
      </c>
      <c r="E6" s="37">
        <f>IF(SUM($D$5:$D$7)=0,0,D6/SUM($D$5:$D$7))</f>
        <v/>
      </c>
      <c r="F6" s="36">
        <f>COUNTIF(Gantt!$C$9:$C$19,Equipo!$B$8)</f>
        <v/>
      </c>
    </row>
    <row r="7">
      <c r="A7" s="39">
        <f>Equipo!B7</f>
        <v/>
      </c>
      <c r="B7" s="35">
        <f>Equipo!C7</f>
        <v/>
      </c>
      <c r="C7" s="36">
        <f>COUNTIF(Gantt!$C$9:$C$19,A7)</f>
        <v/>
      </c>
      <c r="D7" s="36">
        <f>SUMPRODUCT((Gantt!$C$9:$C$19=A7)*(Gantt!$E$9:$E$19-Gantt!$D$9:$D$19+1))-COUNTIFS(Gantt!$C$9:$C$19,A7,Gantt!$D$9:$D$19,"&lt;="&amp;DiaSinTrabajo,Gantt!$E$9:$E$19,"&gt;="&amp;DiaSinTrabajo)</f>
        <v/>
      </c>
      <c r="E7" s="37">
        <f>IF(SUM($D$5:$D$7)=0,0,D7/SUM($D$5:$D$7))</f>
        <v/>
      </c>
      <c r="F7" s="36">
        <f>COUNTIF(Gantt!$C$9:$C$19,Equipo!$B$8)</f>
        <v/>
      </c>
    </row>
    <row r="8">
      <c r="A8" s="40" t="inlineStr">
        <is>
          <t>Total</t>
        </is>
      </c>
      <c r="B8" s="19" t="n"/>
      <c r="C8" s="41">
        <f>SUM(C5:C7)</f>
        <v/>
      </c>
      <c r="D8" s="41">
        <f>SUM(D5:D7)</f>
        <v/>
      </c>
      <c r="E8" s="42">
        <f>SUM(E5:E7)</f>
        <v/>
      </c>
      <c r="F8" s="41">
        <f>F5</f>
        <v/>
      </c>
    </row>
    <row r="9">
      <c r="A9" s="45" t="n"/>
      <c r="B9" s="45" t="n"/>
      <c r="C9" s="45" t="n"/>
      <c r="D9" s="45" t="n"/>
      <c r="E9" s="45" t="n"/>
      <c r="F9" s="45" t="n"/>
    </row>
    <row r="10">
      <c r="A10" s="45" t="n"/>
      <c r="B10" s="45" t="n"/>
      <c r="C10" s="45" t="n"/>
      <c r="D10" s="45" t="n"/>
      <c r="E10" s="45" t="n"/>
      <c r="F10" s="45" t="n"/>
    </row>
    <row r="11" ht="15.6" customHeight="1">
      <c r="A11" s="32" t="inlineStr">
        <is>
          <t>Días en tareas por sprint</t>
        </is>
      </c>
      <c r="B11" s="45" t="n"/>
      <c r="C11" s="45" t="n"/>
      <c r="D11" s="45" t="n"/>
      <c r="E11" s="45" t="n"/>
      <c r="F11" s="45" t="n"/>
    </row>
    <row r="12" ht="30" customHeight="1">
      <c r="A12" s="43" t="inlineStr">
        <is>
          <t>Sprint</t>
        </is>
      </c>
      <c r="B12" s="43">
        <f>Equipo!B5</f>
        <v/>
      </c>
      <c r="C12" s="43">
        <f>Equipo!B6</f>
        <v/>
      </c>
      <c r="D12" s="43">
        <f>Equipo!B7</f>
        <v/>
      </c>
      <c r="E12" s="43" t="inlineStr">
        <is>
          <t>Total sprint</t>
        </is>
      </c>
      <c r="F12" s="45" t="n"/>
    </row>
    <row r="13">
      <c r="A13" s="40" t="inlineStr">
        <is>
          <t>Sprint 5</t>
        </is>
      </c>
      <c r="B13" s="36">
        <f>SUMPRODUCT((Gantt!$A$9:$A$19=$A13)*(Gantt!$C$9:$C$19=B$12)*(Gantt!$E$9:$E$19-Gantt!$D$9:$D$19+1))-COUNTIFS(Gantt!$A$9:$A$19,$A13,Gantt!$C$9:$C$19,B$12,Gantt!$D$9:$D$19,"&lt;="&amp;DiaSinTrabajo,Gantt!$E$9:$E$19,"&gt;="&amp;DiaSinTrabajo)</f>
        <v/>
      </c>
      <c r="C13" s="36">
        <f>SUMPRODUCT((Gantt!$A$9:$A$19=$A13)*(Gantt!$C$9:$C$19=C$12)*(Gantt!$E$9:$E$19-Gantt!$D$9:$D$19+1))-COUNTIFS(Gantt!$A$9:$A$19,$A13,Gantt!$C$9:$C$19,C$12,Gantt!$D$9:$D$19,"&lt;="&amp;DiaSinTrabajo,Gantt!$E$9:$E$19,"&gt;="&amp;DiaSinTrabajo)</f>
        <v/>
      </c>
      <c r="D13" s="36">
        <f>SUMPRODUCT((Gantt!$A$9:$A$19=$A13)*(Gantt!$C$9:$C$19=D$12)*(Gantt!$E$9:$E$19-Gantt!$D$9:$D$19+1))-COUNTIFS(Gantt!$A$9:$A$19,$A13,Gantt!$C$9:$C$19,D$12,Gantt!$D$9:$D$19,"&lt;="&amp;DiaSinTrabajo,Gantt!$E$9:$E$19,"&gt;="&amp;DiaSinTrabajo)</f>
        <v/>
      </c>
      <c r="E13" s="41">
        <f>SUM(B13:D13)</f>
        <v/>
      </c>
      <c r="F13" s="45" t="n"/>
    </row>
    <row r="14">
      <c r="A14" s="40" t="inlineStr">
        <is>
          <t>Sprint 6</t>
        </is>
      </c>
      <c r="B14" s="36">
        <f>SUMPRODUCT((Gantt!$A$9:$A$19=$A14)*(Gantt!$C$9:$C$19=B$12)*(Gantt!$E$9:$E$19-Gantt!$D$9:$D$19+1))-COUNTIFS(Gantt!$A$9:$A$19,$A14,Gantt!$C$9:$C$19,B$12,Gantt!$D$9:$D$19,"&lt;="&amp;DiaSinTrabajo,Gantt!$E$9:$E$19,"&gt;="&amp;DiaSinTrabajo)</f>
        <v/>
      </c>
      <c r="C14" s="36">
        <f>SUMPRODUCT((Gantt!$A$9:$A$19=$A14)*(Gantt!$C$9:$C$19=C$12)*(Gantt!$E$9:$E$19-Gantt!$D$9:$D$19+1))-COUNTIFS(Gantt!$A$9:$A$19,$A14,Gantt!$C$9:$C$19,C$12,Gantt!$D$9:$D$19,"&lt;="&amp;DiaSinTrabajo,Gantt!$E$9:$E$19,"&gt;="&amp;DiaSinTrabajo)</f>
        <v/>
      </c>
      <c r="D14" s="36">
        <f>SUMPRODUCT((Gantt!$A$9:$A$19=$A14)*(Gantt!$C$9:$C$19=D$12)*(Gantt!$E$9:$E$19-Gantt!$D$9:$D$19+1))-COUNTIFS(Gantt!$A$9:$A$19,$A14,Gantt!$C$9:$C$19,D$12,Gantt!$D$9:$D$19,"&lt;="&amp;DiaSinTrabajo,Gantt!$E$9:$E$19,"&gt;="&amp;DiaSinTrabajo)</f>
        <v/>
      </c>
      <c r="E14" s="41">
        <f>SUM(B14:D14)</f>
        <v/>
      </c>
      <c r="F14" s="45" t="n"/>
    </row>
    <row r="15">
      <c r="A15" s="40" t="inlineStr">
        <is>
          <t>Total</t>
        </is>
      </c>
      <c r="B15" s="41">
        <f>SUM(B13:B14)</f>
        <v/>
      </c>
      <c r="C15" s="41">
        <f>SUM(C13:C14)</f>
        <v/>
      </c>
      <c r="D15" s="41">
        <f>SUM(D13:D14)</f>
        <v/>
      </c>
      <c r="E15" s="41">
        <f>SUM(E13:E14)</f>
        <v/>
      </c>
      <c r="F15" s="45" t="n"/>
    </row>
    <row r="16">
      <c r="F16" s="45" t="n"/>
    </row>
    <row r="17">
      <c r="F17" s="45" t="n"/>
    </row>
    <row r="18">
      <c r="F18" s="45" t="n"/>
    </row>
    <row r="19"/>
    <row r="20"/>
    <row r="21"/>
    <row r="22"/>
    <row r="27"/>
  </sheetData>
  <pageMargins left="0.75" right="0.75" top="1" bottom="1" header="0.5" footer="0.5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2026-09-26T17:36:12Z</dcterms:created>
  <dcterms:modified xsi:type="dcterms:W3CDTF">2026-10-24T20:36:51Z</dcterms:modified>
  <cp:lastModifiedBy>Gunther Nettel Rosario</cp:lastModifiedBy>
</cp:coreProperties>
</file>