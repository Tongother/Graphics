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Gantt" sheetId="1" state="visible" r:id="rId1"/>
    <sheet name="Equipo" sheetId="2" state="visible" r:id="rId2"/>
    <sheet name="Carga de trabajo" sheetId="3" state="visible" r:id="rId3"/>
  </sheets>
  <definedNames>
    <definedName name="DiaSinTrabajo">46281</definedName>
    <definedName name="_xlnm.Print_Titles" localSheetId="0">Gantt!$5:$8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"/>
    <numFmt numFmtId="165" formatCode="dd/mm/yy"/>
    <numFmt numFmtId="166" formatCode="0.0%"/>
  </numFmts>
  <fonts count="18">
    <font>
      <name val="Calibri"/>
      <family val="2"/>
      <color theme="1"/>
      <sz val="11"/>
      <scheme val="minor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b val="1"/>
      <color rgb="FF000000"/>
      <sz val="12"/>
    </font>
    <font>
      <name val="Arial"/>
      <b val="1"/>
      <color rgb="FF000000"/>
      <sz val="10"/>
    </font>
    <font>
      <name val="Arial"/>
      <b val="1"/>
      <color rgb="FF000000"/>
      <sz val="15"/>
    </font>
    <font>
      <name val="Arial"/>
      <i val="1"/>
      <color rgb="FF6B7280"/>
      <sz val="10"/>
    </font>
    <font>
      <name val="Arial"/>
      <color rgb="FF008000"/>
      <sz val="10"/>
    </font>
    <font>
      <name val="Arial"/>
      <color rgb="FF008000"/>
      <sz val="9"/>
    </font>
    <font>
      <name val="Arial"/>
      <color rgb="FF000000"/>
      <sz val="9"/>
    </font>
    <font>
      <name val="Arial"/>
      <b val="1"/>
      <color rgb="FFFFFFFF"/>
      <sz val="8"/>
    </font>
    <font>
      <name val="Arial"/>
      <b val="1"/>
      <color rgb="FF374151"/>
      <sz val="8"/>
    </font>
    <font>
      <name val="Arial"/>
      <b val="1"/>
      <color rgb="FFFFFFFF"/>
      <sz val="9"/>
    </font>
    <font>
      <name val="Arial"/>
      <b val="1"/>
      <color rgb="FF111827"/>
      <sz val="8"/>
    </font>
    <font>
      <name val="Calibri"/>
      <family val="2"/>
      <color theme="1"/>
      <sz val="11"/>
      <scheme val="minor"/>
    </font>
    <font>
      <name val="Tahoma"/>
      <charset val="1"/>
      <b val="1"/>
      <color indexed="81"/>
      <sz val="9"/>
    </font>
  </fonts>
  <fills count="11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2A78D6"/>
        <bgColor rgb="FF2A78D6"/>
      </patternFill>
    </fill>
    <fill>
      <patternFill patternType="solid">
        <fgColor rgb="FFEB6834"/>
        <bgColor rgb="FFEB6834"/>
      </patternFill>
    </fill>
    <fill>
      <patternFill patternType="solid">
        <fgColor rgb="FF1BAF7A"/>
        <bgColor rgb="FF1BAF7A"/>
      </patternFill>
    </fill>
    <fill>
      <patternFill patternType="solid">
        <fgColor rgb="FF7C8795"/>
        <bgColor rgb="FF7C8795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374151"/>
        <bgColor rgb="FF374151"/>
      </patternFill>
    </fill>
    <fill>
      <patternFill patternType="solid">
        <fgColor rgb="FFD1D5DB"/>
        <bgColor rgb="FFD1D5DB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16" fillId="0" borderId="0"/>
  </cellStyleXfs>
  <cellXfs count="48">
    <xf numFmtId="0" fontId="0" fillId="0" borderId="0" pivotButton="0" quotePrefix="0" xfId="0"/>
    <xf numFmtId="0" fontId="7" fillId="0" borderId="0" pivotButton="0" quotePrefix="0" xfId="0"/>
    <xf numFmtId="0" fontId="16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14" fontId="9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16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6" fillId="4" borderId="1" pivotButton="0" quotePrefix="0" xfId="0"/>
    <xf numFmtId="0" fontId="16" fillId="7" borderId="1" pivotButton="0" quotePrefix="0" xfId="0"/>
    <xf numFmtId="0" fontId="16" fillId="5" borderId="1" pivotButton="0" quotePrefix="0" xfId="0"/>
    <xf numFmtId="0" fontId="15" fillId="10" borderId="0" applyAlignment="1" pivotButton="0" quotePrefix="0" xfId="0">
      <alignment horizontal="center"/>
    </xf>
    <xf numFmtId="0" fontId="16" fillId="6" borderId="1" pivotButton="0" quotePrefix="0" xfId="0"/>
    <xf numFmtId="0" fontId="13" fillId="8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center" vertical="center"/>
    </xf>
    <xf numFmtId="0" fontId="16" fillId="0" borderId="2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165" fontId="3" fillId="0" borderId="2" applyAlignment="1" pivotButton="0" quotePrefix="0" xfId="0">
      <alignment horizontal="center" vertical="center"/>
    </xf>
    <xf numFmtId="0" fontId="1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5" fillId="0" borderId="0" pivotButton="0" quotePrefix="0" xfId="0"/>
    <xf numFmtId="14" fontId="3" fillId="0" borderId="0" pivotButton="0" quotePrefix="0" xfId="0"/>
    <xf numFmtId="0" fontId="4" fillId="3" borderId="2" pivotButton="0" quotePrefix="0" xfId="0"/>
    <xf numFmtId="0" fontId="9" fillId="0" borderId="2" pivotButton="0" quotePrefix="0" xfId="0"/>
    <xf numFmtId="0" fontId="16" fillId="0" borderId="2" applyAlignment="1" pivotButton="0" quotePrefix="0" xfId="0">
      <alignment horizontal="center"/>
    </xf>
    <xf numFmtId="166" fontId="16" fillId="0" borderId="2" applyAlignment="1" pivotButton="0" quotePrefix="0" xfId="0">
      <alignment horizontal="center"/>
    </xf>
    <xf numFmtId="0" fontId="4" fillId="4" borderId="2" pivotButton="0" quotePrefix="0" xfId="0"/>
    <xf numFmtId="0" fontId="4" fillId="5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15" fillId="10" borderId="0" applyAlignment="1" pivotButton="0" quotePrefix="0" xfId="0">
      <alignment horizontal="center"/>
    </xf>
    <xf numFmtId="0" fontId="16" fillId="0" borderId="0" pivotButton="0" quotePrefix="0" xfId="0"/>
    <xf numFmtId="0" fontId="15" fillId="7" borderId="0" applyAlignment="1" pivotButton="0" quotePrefix="0" xfId="0">
      <alignment horizontal="center"/>
    </xf>
    <xf numFmtId="0" fontId="14" fillId="9" borderId="0" applyAlignment="1" pivotButton="0" quotePrefix="0" xfId="0">
      <alignment horizontal="center"/>
    </xf>
  </cellXfs>
  <cellStyles count="1">
    <cellStyle name="Normal" xfId="0" builtinId="0"/>
  </cellStyles>
  <dxfs count="7">
    <dxf>
      <fill>
        <patternFill>
          <bgColor rgb="FFFFFFFF"/>
        </patternFill>
      </fill>
    </dxf>
    <dxf>
      <fill>
        <patternFill patternType="solid">
          <fgColor rgb="FF7C8795"/>
          <bgColor rgb="FF7C8795"/>
        </patternFill>
      </fill>
    </dxf>
    <dxf>
      <fill>
        <patternFill patternType="solid">
          <fgColor rgb="FF1BAF7A"/>
          <bgColor rgb="FF1BAF7A"/>
        </patternFill>
      </fill>
    </dxf>
    <dxf>
      <fill>
        <patternFill patternType="solid">
          <fgColor rgb="FFEB6834"/>
          <bgColor rgb="FFEB6834"/>
        </patternFill>
      </fill>
    </dxf>
    <dxf>
      <fill>
        <patternFill patternType="solid">
          <fgColor rgb="FF2A78D6"/>
          <bgColor rgb="FF2A78D6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D1D5DB"/>
          <bgColor rgb="FFD1D5D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Días en tareas por sprint e integrante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'Carga de trabajo'!$B$12</f>
              <strCache>
                <ptCount val="1"/>
                <pt idx="0">
                  <v>Gunther Nettel Rosario</v>
                </pt>
              </strCache>
            </strRef>
          </tx>
          <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trabajo'!$A$13:$A$21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trabajo'!$B$13:$B$21</f>
              <numCache>
                <formatCode>General</formatCode>
                <ptCount val="5"/>
                <pt idx="0">
                  <v>4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ser>
          <idx val="1"/>
          <order val="1"/>
          <tx>
            <strRef>
              <f>'Carga de trabajo'!$C$12</f>
              <strCache>
                <ptCount val="1"/>
                <pt idx="0">
                  <v>Alberto Rasgado</v>
                </pt>
              </strCache>
            </strRef>
          </tx>
          <spPr>
            <a:solidFill>
              <a:srgbClr val="EB6834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trabajo'!$A$13:$A$21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trabajo'!$C$13:$C$21</f>
              <numCache>
                <formatCode>General</formatCode>
                <ptCount val="5"/>
                <pt idx="0">
                  <v>3</v>
                </pt>
                <pt idx="1">
                  <v>4</v>
                </pt>
                <pt idx="2">
                  <v>4</v>
                </pt>
                <pt idx="3">
                  <v>5</v>
                </pt>
                <pt idx="4">
                  <v>4</v>
                </pt>
              </numCache>
            </numRef>
          </val>
        </ser>
        <ser>
          <idx val="2"/>
          <order val="2"/>
          <tx>
            <strRef>
              <f>'Carga de trabajo'!$D$12</f>
              <strCache>
                <ptCount val="1"/>
                <pt idx="0">
                  <v>Ulises Chauk Arias Santiz</v>
                </pt>
              </strCache>
            </strRef>
          </tx>
          <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spPr>
          <invertIfNegative val="1"/>
          <cat>
            <strRef>
              <f>'Carga de trabajo'!$A$13:$A$21</f>
              <strCache>
                <ptCount val="5"/>
                <pt idx="0">
                  <v>Sprint 0</v>
                </pt>
                <pt idx="1">
                  <v>Sprint 1</v>
                </pt>
                <pt idx="2">
                  <v>Sprint 2</v>
                </pt>
                <pt idx="3">
                  <v>Sprint 3</v>
                </pt>
                <pt idx="4">
                  <v>Sprint 4</v>
                </pt>
              </strCache>
            </strRef>
          </cat>
          <val>
            <numRef>
              <f>'Carga de trabajo'!$D$13:$D$21</f>
              <numCache>
                <formatCode>General</formatCode>
                <ptCount val="5"/>
                <pt idx="0">
                  <v>4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80"/>
        <overlap val="-5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>
                  <a:defRPr/>
                </a:pPr>
                <a:r>
                  <a:t>Días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  <majorUnit val="1"/>
      </valAx>
    </plotArea>
    <legend>
      <legendPos val="b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Gunther Nettel Rosario</author>
  </authors>
  <commentList>
    <comment ref="D4" authorId="0" shapeId="0">
      <text>
        <t>Días de inicio a fin de cada tarea, sin contar el 16/09/2026 (día vacío en el Gantt). Las tareas caen de lunes a viernes.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X72"/>
  <sheetViews>
    <sheetView showGridLines="0" tabSelected="1" workbookViewId="0">
      <pane xSplit="7" ySplit="8" topLeftCell="H9" activePane="bottomRight" state="frozen"/>
      <selection pane="topRight"/>
      <selection pane="bottomLeft"/>
      <selection pane="bottomRight" activeCell="H1" sqref="H1"/>
      <selection pane="bottomLeft" activeCell="A9" sqref="A9"/>
      <selection pane="bottomRight" activeCell="B25" sqref="B25"/>
    </sheetView>
  </sheetViews>
  <sheetFormatPr baseColWidth="10" defaultColWidth="8.88671875" defaultRowHeight="14.4"/>
  <cols>
    <col width="11" customWidth="1" min="1" max="1"/>
    <col width="62" customWidth="1" min="2" max="2"/>
    <col width="24" customWidth="1" min="3" max="3"/>
    <col width="11" customWidth="1" min="4" max="5"/>
    <col width="12" customWidth="1" min="6" max="6"/>
    <col width="2" customWidth="1" min="7" max="7"/>
    <col width="3.33203125" customWidth="1" min="8" max="76"/>
  </cols>
  <sheetData>
    <row r="1" ht="19.2" customHeight="1">
      <c r="A1" s="1" t="inlineStr">
        <is>
          <t>Diagrama de Gantt · Proyecto de Computación Gráfica (Rectas, Triángulo y Circunferencia)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  <c r="AQ1" s="45" t="n"/>
    </row>
    <row r="2">
      <c r="A2" s="3" t="inlineStr">
        <is>
          <t>Metodología Scrum · 9 sprints semanales y 2 entregas - Aplicación de escritorio en Python (CustomTkinter + Matplotlib)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5" t="n"/>
      <c r="U2" s="45" t="n"/>
      <c r="V2" s="45" t="n"/>
      <c r="W2" s="45" t="n"/>
      <c r="X2" s="45" t="n"/>
      <c r="Y2" s="45" t="n"/>
      <c r="Z2" s="45" t="n"/>
      <c r="AA2" s="45" t="n"/>
      <c r="AB2" s="45" t="n"/>
      <c r="AC2" s="45" t="n"/>
      <c r="AD2" s="45" t="n"/>
      <c r="AE2" s="45" t="n"/>
      <c r="AF2" s="45" t="n"/>
      <c r="AG2" s="45" t="n"/>
      <c r="AH2" s="45" t="n"/>
      <c r="AI2" s="45" t="n"/>
      <c r="AJ2" s="45" t="n"/>
      <c r="AK2" s="45" t="n"/>
      <c r="AL2" s="45" t="n"/>
      <c r="AM2" s="45" t="n"/>
      <c r="AN2" s="45" t="n"/>
      <c r="AO2" s="45" t="n"/>
      <c r="AP2" s="45" t="n"/>
      <c r="AQ2" s="45" t="n"/>
    </row>
    <row r="3">
      <c r="A3" s="4" t="inlineStr">
        <is>
          <t>Inicio:</t>
        </is>
      </c>
      <c r="B3" s="5">
        <f>Equipo!B12</f>
        <v/>
      </c>
      <c r="C3" s="6" t="inlineStr">
        <is>
          <t>Fin:</t>
        </is>
      </c>
      <c r="D3" s="5">
        <f>Equipo!B13</f>
        <v/>
      </c>
      <c r="E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5" t="n"/>
      <c r="Q3" s="45" t="n"/>
      <c r="R3" s="45" t="n"/>
      <c r="S3" s="45" t="n"/>
      <c r="T3" s="45" t="n"/>
      <c r="U3" s="45" t="n"/>
      <c r="V3" s="45" t="n"/>
      <c r="W3" s="45" t="n"/>
      <c r="X3" s="45" t="n"/>
      <c r="Y3" s="45" t="n"/>
      <c r="Z3" s="45" t="n"/>
      <c r="AA3" s="45" t="n"/>
      <c r="AB3" s="45" t="n"/>
      <c r="AC3" s="45" t="n"/>
      <c r="AD3" s="45" t="n"/>
      <c r="AE3" s="45" t="n"/>
      <c r="AF3" s="45" t="n"/>
      <c r="AG3" s="45" t="n"/>
      <c r="AH3" s="45" t="n"/>
      <c r="AI3" s="45" t="n"/>
      <c r="AJ3" s="45" t="n"/>
      <c r="AK3" s="45" t="n"/>
      <c r="AL3" s="45" t="n"/>
      <c r="AM3" s="45" t="n"/>
      <c r="AN3" s="45" t="n"/>
      <c r="AO3" s="45" t="n"/>
      <c r="AP3" s="45" t="n"/>
      <c r="AQ3" s="45" t="n"/>
    </row>
    <row r="4">
      <c r="A4" s="8" t="n"/>
      <c r="B4" s="9">
        <f>Equipo!B5</f>
        <v/>
      </c>
      <c r="C4" s="45" t="n"/>
      <c r="D4" s="12" t="n"/>
      <c r="E4" s="10" t="inlineStr">
        <is>
          <t>Fin de semana</t>
        </is>
      </c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45" t="n"/>
      <c r="Q4" s="45" t="n"/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45" t="n"/>
      <c r="AJ4" s="45" t="n"/>
      <c r="AK4" s="45" t="n"/>
      <c r="AL4" s="45" t="n"/>
      <c r="AM4" s="45" t="n"/>
      <c r="AN4" s="45" t="n"/>
      <c r="AO4" s="45" t="n"/>
      <c r="AP4" s="45" t="n"/>
      <c r="AQ4" s="45" t="n"/>
    </row>
    <row r="5">
      <c r="A5" s="11" t="n"/>
      <c r="B5" s="9">
        <f>Equipo!B6</f>
        <v/>
      </c>
      <c r="C5" s="45" t="n"/>
      <c r="F5" s="45" t="n"/>
      <c r="G5" s="45" t="n"/>
      <c r="H5" s="47" t="inlineStr">
        <is>
          <t>Agosto 2026</t>
        </is>
      </c>
      <c r="W5" s="47" t="inlineStr">
        <is>
          <t>Septiembre 2026</t>
        </is>
      </c>
      <c r="BA5" s="47" t="inlineStr">
        <is>
          <t>Octubre 2026</t>
        </is>
      </c>
    </row>
    <row r="6">
      <c r="A6" s="13" t="n"/>
      <c r="B6" s="9">
        <f>Equipo!B7</f>
        <v/>
      </c>
      <c r="C6" s="45" t="n"/>
      <c r="F6" s="45" t="n"/>
      <c r="G6" s="45" t="n"/>
      <c r="H6" s="46" t="inlineStr">
        <is>
          <t>Sem 1 · Sprint 0</t>
        </is>
      </c>
      <c r="O6" s="44" t="inlineStr">
        <is>
          <t>Sem 2 · Sprint 1</t>
        </is>
      </c>
      <c r="V6" s="46" t="inlineStr">
        <is>
          <t>Sem 3 · Sprint 2</t>
        </is>
      </c>
      <c r="AC6" s="44" t="inlineStr">
        <is>
          <t>Sem 4 · Sprint 3</t>
        </is>
      </c>
      <c r="AJ6" s="46" t="inlineStr">
        <is>
          <t>Sem 5 · Sprint 4</t>
        </is>
      </c>
      <c r="AQ6" s="44" t="inlineStr">
        <is>
          <t>Sem 6 · Entrega 1</t>
        </is>
      </c>
      <c r="AX6" s="46" t="inlineStr">
        <is>
          <t>Sem 7 · Sprint 5</t>
        </is>
      </c>
      <c r="BE6" s="44" t="inlineStr">
        <is>
          <t>Sem 8 · Sprint 6</t>
        </is>
      </c>
      <c r="BL6" s="46" t="inlineStr">
        <is>
          <t>Sem 9 · Sprint 7</t>
        </is>
      </c>
      <c r="BS6" s="44" t="inlineStr">
        <is>
          <t>Sem 10 · Sprint 8 y Entrega 2</t>
        </is>
      </c>
    </row>
    <row r="7">
      <c r="A7" s="15" t="n"/>
      <c r="B7" s="9">
        <f>Equipo!B8</f>
        <v/>
      </c>
      <c r="C7" s="45" t="n"/>
      <c r="D7" s="45" t="n"/>
      <c r="E7" s="45" t="n"/>
      <c r="F7" s="45" t="n"/>
      <c r="G7" s="45" t="n"/>
      <c r="H7" s="16">
        <f>MID("LMXJVSD",WEEKDAY(H8,2),1)</f>
        <v/>
      </c>
      <c r="I7" s="16">
        <f>MID("LMXJVSD",WEEKDAY(I8,2),1)</f>
        <v/>
      </c>
      <c r="J7" s="16">
        <f>MID("LMXJVSD",WEEKDAY(J8,2),1)</f>
        <v/>
      </c>
      <c r="K7" s="16">
        <f>MID("LMXJVSD",WEEKDAY(K8,2),1)</f>
        <v/>
      </c>
      <c r="L7" s="16">
        <f>MID("LMXJVSD",WEEKDAY(L8,2),1)</f>
        <v/>
      </c>
      <c r="M7" s="16">
        <f>MID("LMXJVSD",WEEKDAY(M8,2),1)</f>
        <v/>
      </c>
      <c r="N7" s="16">
        <f>MID("LMXJVSD",WEEKDAY(N8,2),1)</f>
        <v/>
      </c>
      <c r="O7" s="16">
        <f>MID("LMXJVSD",WEEKDAY(O8,2),1)</f>
        <v/>
      </c>
      <c r="P7" s="16">
        <f>MID("LMXJVSD",WEEKDAY(P8,2),1)</f>
        <v/>
      </c>
      <c r="Q7" s="16">
        <f>MID("LMXJVSD",WEEKDAY(Q8,2),1)</f>
        <v/>
      </c>
      <c r="R7" s="16">
        <f>MID("LMXJVSD",WEEKDAY(R8,2),1)</f>
        <v/>
      </c>
      <c r="S7" s="16">
        <f>MID("LMXJVSD",WEEKDAY(S8,2),1)</f>
        <v/>
      </c>
      <c r="T7" s="16">
        <f>MID("LMXJVSD",WEEKDAY(T8,2),1)</f>
        <v/>
      </c>
      <c r="U7" s="16">
        <f>MID("LMXJVSD",WEEKDAY(U8,2),1)</f>
        <v/>
      </c>
      <c r="V7" s="16">
        <f>MID("LMXJVSD",WEEKDAY(V8,2),1)</f>
        <v/>
      </c>
      <c r="W7" s="16">
        <f>MID("LMXJVSD",WEEKDAY(W8,2),1)</f>
        <v/>
      </c>
      <c r="X7" s="16">
        <f>MID("LMXJVSD",WEEKDAY(X8,2),1)</f>
        <v/>
      </c>
      <c r="Y7" s="16">
        <f>MID("LMXJVSD",WEEKDAY(Y8,2),1)</f>
        <v/>
      </c>
      <c r="Z7" s="16">
        <f>MID("LMXJVSD",WEEKDAY(Z8,2),1)</f>
        <v/>
      </c>
      <c r="AA7" s="16">
        <f>MID("LMXJVSD",WEEKDAY(AA8,2),1)</f>
        <v/>
      </c>
      <c r="AB7" s="16">
        <f>MID("LMXJVSD",WEEKDAY(AB8,2),1)</f>
        <v/>
      </c>
      <c r="AC7" s="16">
        <f>MID("LMXJVSD",WEEKDAY(AC8,2),1)</f>
        <v/>
      </c>
      <c r="AD7" s="16">
        <f>MID("LMXJVSD",WEEKDAY(AD8,2),1)</f>
        <v/>
      </c>
      <c r="AE7" s="16">
        <f>MID("LMXJVSD",WEEKDAY(AE8,2),1)</f>
        <v/>
      </c>
      <c r="AF7" s="16">
        <f>MID("LMXJVSD",WEEKDAY(AF8,2),1)</f>
        <v/>
      </c>
      <c r="AG7" s="16">
        <f>MID("LMXJVSD",WEEKDAY(AG8,2),1)</f>
        <v/>
      </c>
      <c r="AH7" s="16">
        <f>MID("LMXJVSD",WEEKDAY(AH8,2),1)</f>
        <v/>
      </c>
      <c r="AI7" s="16">
        <f>MID("LMXJVSD",WEEKDAY(AI8,2),1)</f>
        <v/>
      </c>
      <c r="AJ7" s="16">
        <f>MID("LMXJVSD",WEEKDAY(AJ8,2),1)</f>
        <v/>
      </c>
      <c r="AK7" s="16">
        <f>MID("LMXJVSD",WEEKDAY(AK8,2),1)</f>
        <v/>
      </c>
      <c r="AL7" s="16">
        <f>MID("LMXJVSD",WEEKDAY(AL8,2),1)</f>
        <v/>
      </c>
      <c r="AM7" s="16">
        <f>MID("LMXJVSD",WEEKDAY(AM8,2),1)</f>
        <v/>
      </c>
      <c r="AN7" s="16">
        <f>MID("LMXJVSD",WEEKDAY(AN8,2),1)</f>
        <v/>
      </c>
      <c r="AO7" s="16">
        <f>MID("LMXJVSD",WEEKDAY(AO8,2),1)</f>
        <v/>
      </c>
      <c r="AP7" s="16">
        <f>MID("LMXJVSD",WEEKDAY(AP8,2),1)</f>
        <v/>
      </c>
      <c r="AQ7" s="16">
        <f>MID("LMXJVSD",WEEKDAY(AQ8,2),1)</f>
        <v/>
      </c>
      <c r="AR7" s="16">
        <f>MID("LMXJVSD",WEEKDAY(AR8,2),1)</f>
        <v/>
      </c>
      <c r="AS7" s="16">
        <f>MID("LMXJVSD",WEEKDAY(AS8,2),1)</f>
        <v/>
      </c>
      <c r="AT7" s="16">
        <f>MID("LMXJVSD",WEEKDAY(AT8,2),1)</f>
        <v/>
      </c>
      <c r="AU7" s="16">
        <f>MID("LMXJVSD",WEEKDAY(AU8,2),1)</f>
        <v/>
      </c>
      <c r="AV7" s="16">
        <f>MID("LMXJVSD",WEEKDAY(AV8,2),1)</f>
        <v/>
      </c>
      <c r="AW7" s="16">
        <f>MID("LMXJVSD",WEEKDAY(AW8,2),1)</f>
        <v/>
      </c>
      <c r="AX7" s="16">
        <f>MID("LMXJVSD",WEEKDAY(AX8,2),1)</f>
        <v/>
      </c>
      <c r="AY7" s="16">
        <f>MID("LMXJVSD",WEEKDAY(AY8,2),1)</f>
        <v/>
      </c>
      <c r="AZ7" s="16">
        <f>MID("LMXJVSD",WEEKDAY(AZ8,2),1)</f>
        <v/>
      </c>
      <c r="BA7" s="16">
        <f>MID("LMXJVSD",WEEKDAY(BA8,2),1)</f>
        <v/>
      </c>
      <c r="BB7" s="16">
        <f>MID("LMXJVSD",WEEKDAY(BB8,2),1)</f>
        <v/>
      </c>
      <c r="BC7" s="16">
        <f>MID("LMXJVSD",WEEKDAY(BC8,2),1)</f>
        <v/>
      </c>
      <c r="BD7" s="16">
        <f>MID("LMXJVSD",WEEKDAY(BD8,2),1)</f>
        <v/>
      </c>
      <c r="BE7" s="16">
        <f>MID("LMXJVSD",WEEKDAY(BE8,2),1)</f>
        <v/>
      </c>
      <c r="BF7" s="16">
        <f>MID("LMXJVSD",WEEKDAY(BF8,2),1)</f>
        <v/>
      </c>
      <c r="BG7" s="16">
        <f>MID("LMXJVSD",WEEKDAY(BG8,2),1)</f>
        <v/>
      </c>
      <c r="BH7" s="16">
        <f>MID("LMXJVSD",WEEKDAY(BH8,2),1)</f>
        <v/>
      </c>
      <c r="BI7" s="16">
        <f>MID("LMXJVSD",WEEKDAY(BI8,2),1)</f>
        <v/>
      </c>
      <c r="BJ7" s="16">
        <f>MID("LMXJVSD",WEEKDAY(BJ8,2),1)</f>
        <v/>
      </c>
      <c r="BK7" s="16">
        <f>MID("LMXJVSD",WEEKDAY(BK8,2),1)</f>
        <v/>
      </c>
      <c r="BL7" s="16">
        <f>MID("LMXJVSD",WEEKDAY(BL8,2),1)</f>
        <v/>
      </c>
      <c r="BM7" s="16">
        <f>MID("LMXJVSD",WEEKDAY(BM8,2),1)</f>
        <v/>
      </c>
      <c r="BN7" s="16">
        <f>MID("LMXJVSD",WEEKDAY(BN8,2),1)</f>
        <v/>
      </c>
      <c r="BO7" s="16">
        <f>MID("LMXJVSD",WEEKDAY(BO8,2),1)</f>
        <v/>
      </c>
      <c r="BP7" s="16">
        <f>MID("LMXJVSD",WEEKDAY(BP8,2),1)</f>
        <v/>
      </c>
      <c r="BQ7" s="16">
        <f>MID("LMXJVSD",WEEKDAY(BQ8,2),1)</f>
        <v/>
      </c>
      <c r="BR7" s="16">
        <f>MID("LMXJVSD",WEEKDAY(BR8,2),1)</f>
        <v/>
      </c>
      <c r="BS7" s="16">
        <f>MID("LMXJVSD",WEEKDAY(BS8,2),1)</f>
        <v/>
      </c>
      <c r="BT7" s="16">
        <f>MID("LMXJVSD",WEEKDAY(BT8,2),1)</f>
        <v/>
      </c>
      <c r="BU7" s="16">
        <f>MID("LMXJVSD",WEEKDAY(BU8,2),1)</f>
        <v/>
      </c>
      <c r="BV7" s="16">
        <f>MID("LMXJVSD",WEEKDAY(BV8,2),1)</f>
        <v/>
      </c>
      <c r="BW7" s="16">
        <f>MID("LMXJVSD",WEEKDAY(BW8,2),1)</f>
        <v/>
      </c>
      <c r="BX7" s="16">
        <f>MID("LMXJVSD",WEEKDAY(BX8,2),1)</f>
        <v/>
      </c>
    </row>
    <row r="8" ht="30" customHeight="1">
      <c r="A8" s="17" t="inlineStr">
        <is>
          <t>Sprint</t>
        </is>
      </c>
      <c r="B8" s="17" t="inlineStr">
        <is>
          <t>Tarea</t>
        </is>
      </c>
      <c r="C8" s="17" t="inlineStr">
        <is>
          <t>Responsable</t>
        </is>
      </c>
      <c r="D8" s="17" t="inlineStr">
        <is>
          <t>Inicio</t>
        </is>
      </c>
      <c r="E8" s="17" t="inlineStr">
        <is>
          <t>Fin</t>
        </is>
      </c>
      <c r="F8" s="17" t="inlineStr">
        <is>
          <t>Estado</t>
        </is>
      </c>
      <c r="G8" s="45" t="n"/>
      <c r="H8" s="18">
        <f>Equipo!$B$12</f>
        <v/>
      </c>
      <c r="I8" s="18">
        <f>H8+1</f>
        <v/>
      </c>
      <c r="J8" s="18">
        <f>I8+1</f>
        <v/>
      </c>
      <c r="K8" s="18">
        <f>J8+1</f>
        <v/>
      </c>
      <c r="L8" s="18">
        <f>K8+1</f>
        <v/>
      </c>
      <c r="M8" s="18">
        <f>L8+1</f>
        <v/>
      </c>
      <c r="N8" s="18">
        <f>M8+1</f>
        <v/>
      </c>
      <c r="O8" s="18">
        <f>N8+1</f>
        <v/>
      </c>
      <c r="P8" s="18">
        <f>O8+1</f>
        <v/>
      </c>
      <c r="Q8" s="18">
        <f>P8+1</f>
        <v/>
      </c>
      <c r="R8" s="18">
        <f>Q8+1</f>
        <v/>
      </c>
      <c r="S8" s="18">
        <f>R8+1</f>
        <v/>
      </c>
      <c r="T8" s="18">
        <f>S8+1</f>
        <v/>
      </c>
      <c r="U8" s="18">
        <f>T8+1</f>
        <v/>
      </c>
      <c r="V8" s="18">
        <f>U8+1</f>
        <v/>
      </c>
      <c r="W8" s="18">
        <f>V8+1</f>
        <v/>
      </c>
      <c r="X8" s="18">
        <f>W8+1</f>
        <v/>
      </c>
      <c r="Y8" s="18">
        <f>X8+1</f>
        <v/>
      </c>
      <c r="Z8" s="18">
        <f>Y8+1</f>
        <v/>
      </c>
      <c r="AA8" s="18">
        <f>Z8+1</f>
        <v/>
      </c>
      <c r="AB8" s="18">
        <f>AA8+1</f>
        <v/>
      </c>
      <c r="AC8" s="18">
        <f>AB8+1</f>
        <v/>
      </c>
      <c r="AD8" s="18">
        <f>AC8+1</f>
        <v/>
      </c>
      <c r="AE8" s="18">
        <f>AD8+1</f>
        <v/>
      </c>
      <c r="AF8" s="18">
        <f>AE8+1</f>
        <v/>
      </c>
      <c r="AG8" s="18">
        <f>AF8+1</f>
        <v/>
      </c>
      <c r="AH8" s="18">
        <f>AG8+1</f>
        <v/>
      </c>
      <c r="AI8" s="18">
        <f>AH8+1</f>
        <v/>
      </c>
      <c r="AJ8" s="18">
        <f>AI8+1</f>
        <v/>
      </c>
      <c r="AK8" s="18">
        <f>AJ8+1</f>
        <v/>
      </c>
      <c r="AL8" s="18">
        <f>AK8+1</f>
        <v/>
      </c>
      <c r="AM8" s="18">
        <f>AL8+1</f>
        <v/>
      </c>
      <c r="AN8" s="18">
        <f>AM8+1</f>
        <v/>
      </c>
      <c r="AO8" s="18">
        <f>AN8+1</f>
        <v/>
      </c>
      <c r="AP8" s="18">
        <f>AO8+1</f>
        <v/>
      </c>
      <c r="AQ8" s="18">
        <f>AP8+1</f>
        <v/>
      </c>
      <c r="AR8" s="18">
        <f>AQ8+1</f>
        <v/>
      </c>
      <c r="AS8" s="18">
        <f>AR8+1</f>
        <v/>
      </c>
      <c r="AT8" s="18">
        <f>AS8+1</f>
        <v/>
      </c>
      <c r="AU8" s="18">
        <f>AT8+1</f>
        <v/>
      </c>
      <c r="AV8" s="18">
        <f>AU8+1</f>
        <v/>
      </c>
      <c r="AW8" s="18">
        <f>AV8+1</f>
        <v/>
      </c>
      <c r="AX8" s="18">
        <f>AW8+1</f>
        <v/>
      </c>
      <c r="AY8" s="18">
        <f>AX8+1</f>
        <v/>
      </c>
      <c r="AZ8" s="18">
        <f>AY8+1</f>
        <v/>
      </c>
      <c r="BA8" s="18">
        <f>AZ8+1</f>
        <v/>
      </c>
      <c r="BB8" s="18">
        <f>BA8+1</f>
        <v/>
      </c>
      <c r="BC8" s="18">
        <f>BB8+1</f>
        <v/>
      </c>
      <c r="BD8" s="18">
        <f>BC8+1</f>
        <v/>
      </c>
      <c r="BE8" s="18">
        <f>BD8+1</f>
        <v/>
      </c>
      <c r="BF8" s="18">
        <f>BE8+1</f>
        <v/>
      </c>
      <c r="BG8" s="18">
        <f>BF8+1</f>
        <v/>
      </c>
      <c r="BH8" s="18">
        <f>BG8+1</f>
        <v/>
      </c>
      <c r="BI8" s="18">
        <f>BH8+1</f>
        <v/>
      </c>
      <c r="BJ8" s="18">
        <f>BI8+1</f>
        <v/>
      </c>
      <c r="BK8" s="18">
        <f>BJ8+1</f>
        <v/>
      </c>
      <c r="BL8" s="18">
        <f>BK8+1</f>
        <v/>
      </c>
      <c r="BM8" s="18">
        <f>BL8+1</f>
        <v/>
      </c>
      <c r="BN8" s="18">
        <f>BM8+1</f>
        <v/>
      </c>
      <c r="BO8" s="18">
        <f>BN8+1</f>
        <v/>
      </c>
      <c r="BP8" s="18">
        <f>BO8+1</f>
        <v/>
      </c>
      <c r="BQ8" s="18">
        <f>BP8+1</f>
        <v/>
      </c>
      <c r="BR8" s="18">
        <f>BQ8+1</f>
        <v/>
      </c>
      <c r="BS8" s="18">
        <f>BR8+1</f>
        <v/>
      </c>
      <c r="BT8" s="18">
        <f>BS8+1</f>
        <v/>
      </c>
      <c r="BU8" s="18">
        <f>BT8+1</f>
        <v/>
      </c>
      <c r="BV8" s="18">
        <f>BU8+1</f>
        <v/>
      </c>
      <c r="BW8" s="18">
        <f>BV8+1</f>
        <v/>
      </c>
      <c r="BX8" s="18">
        <f>BW8+1</f>
        <v/>
      </c>
    </row>
    <row r="9" ht="18" customHeight="1">
      <c r="A9" s="20" t="inlineStr">
        <is>
          <t>Sprint 0</t>
        </is>
      </c>
      <c r="B9" s="21" t="inlineStr">
        <is>
          <t>Kick-off, requerimientos y Product Backlog</t>
        </is>
      </c>
      <c r="C9" s="22">
        <f>Equipo!$B$8</f>
        <v/>
      </c>
      <c r="D9" s="23" t="n">
        <v>46251</v>
      </c>
      <c r="E9" s="23" t="n">
        <v>46251</v>
      </c>
      <c r="F9" s="20" t="inlineStr">
        <is>
          <t>Completado</t>
        </is>
      </c>
      <c r="G9" s="45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19" t="n"/>
      <c r="BA9" s="19" t="n"/>
      <c r="BB9" s="19" t="n"/>
      <c r="BC9" s="19" t="n"/>
      <c r="BD9" s="19" t="n"/>
      <c r="BE9" s="19" t="n"/>
      <c r="BF9" s="19" t="n"/>
      <c r="BG9" s="19" t="n"/>
      <c r="BH9" s="19" t="n"/>
      <c r="BI9" s="19" t="n"/>
      <c r="BJ9" s="19" t="n"/>
      <c r="BK9" s="19" t="n"/>
      <c r="BL9" s="19" t="n"/>
      <c r="BM9" s="19" t="n"/>
      <c r="BN9" s="19" t="n"/>
      <c r="BO9" s="19" t="n"/>
      <c r="BP9" s="19" t="n"/>
      <c r="BQ9" s="19" t="n"/>
      <c r="BR9" s="19" t="n"/>
      <c r="BS9" s="19" t="n"/>
      <c r="BT9" s="19" t="n"/>
      <c r="BU9" s="19" t="n"/>
      <c r="BV9" s="19" t="n"/>
      <c r="BW9" s="19" t="n"/>
      <c r="BX9" s="19" t="n"/>
    </row>
    <row r="10" ht="18" customHeight="1">
      <c r="A10" s="20" t="inlineStr">
        <is>
          <t>Sprint 0</t>
        </is>
      </c>
      <c r="B10" s="21" t="inlineStr">
        <is>
          <t>Investigación: pendiente, ecuación y trazo de rectas</t>
        </is>
      </c>
      <c r="C10" s="22">
        <f>Equipo!$B$6</f>
        <v/>
      </c>
      <c r="D10" s="23" t="n">
        <v>46252</v>
      </c>
      <c r="E10" s="23" t="n">
        <v>46254</v>
      </c>
      <c r="F10" s="20" t="inlineStr">
        <is>
          <t>Completado</t>
        </is>
      </c>
      <c r="G10" s="45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</row>
    <row r="11" ht="18" customHeight="1">
      <c r="A11" s="20" t="inlineStr">
        <is>
          <t>Sprint 0</t>
        </is>
      </c>
      <c r="B11" s="21" t="inlineStr">
        <is>
          <t>Selección de stack (CustomTkinter, Matplotlib, CTkTable) y entorno virtual</t>
        </is>
      </c>
      <c r="C11" s="22">
        <f>Equipo!$B$5</f>
        <v/>
      </c>
      <c r="D11" s="23" t="n">
        <v>46252</v>
      </c>
      <c r="E11" s="23" t="n">
        <v>46253</v>
      </c>
      <c r="F11" s="20" t="inlineStr">
        <is>
          <t>Completado</t>
        </is>
      </c>
      <c r="G11" s="45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</row>
    <row r="12" ht="18" customHeight="1">
      <c r="A12" s="20" t="inlineStr">
        <is>
          <t>Sprint 0</t>
        </is>
      </c>
      <c r="B12" s="21" t="inlineStr">
        <is>
          <t>Configuración del repositorio Git y estructura de carpetas</t>
        </is>
      </c>
      <c r="C12" s="22">
        <f>Equipo!$B$5</f>
        <v/>
      </c>
      <c r="D12" s="23" t="n">
        <v>46254</v>
      </c>
      <c r="E12" s="23" t="n">
        <v>46255</v>
      </c>
      <c r="F12" s="20" t="inlineStr">
        <is>
          <t>Completado</t>
        </is>
      </c>
      <c r="G12" s="45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</row>
    <row r="13" ht="18" customHeight="1">
      <c r="A13" s="20" t="inlineStr">
        <is>
          <t>Sprint 0</t>
        </is>
      </c>
      <c r="B13" s="21" t="inlineStr">
        <is>
          <t>Wireframes de la interfaz (sidebar, plano, tabla, tarjetas)</t>
        </is>
      </c>
      <c r="C13" s="22">
        <f>Equipo!$B$7</f>
        <v/>
      </c>
      <c r="D13" s="23" t="n">
        <v>46252</v>
      </c>
      <c r="E13" s="23" t="n">
        <v>46255</v>
      </c>
      <c r="F13" s="20" t="inlineStr">
        <is>
          <t>Completado</t>
        </is>
      </c>
      <c r="G13" s="45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</row>
    <row r="14" ht="18" customHeight="1">
      <c r="A14" s="20" t="inlineStr">
        <is>
          <t>Sprint 0</t>
        </is>
      </c>
      <c r="B14" s="21" t="inlineStr">
        <is>
          <t>Sprint Review y Retrospectiva</t>
        </is>
      </c>
      <c r="C14" s="22">
        <f>Equipo!$B$8</f>
        <v/>
      </c>
      <c r="D14" s="23" t="n">
        <v>46255</v>
      </c>
      <c r="E14" s="23" t="n">
        <v>46255</v>
      </c>
      <c r="F14" s="20" t="inlineStr">
        <is>
          <t>Completado</t>
        </is>
      </c>
      <c r="G14" s="45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</row>
    <row r="15" ht="18" customHeight="1">
      <c r="A15" s="20" t="inlineStr">
        <is>
          <t>Sprint 1</t>
        </is>
      </c>
      <c r="B15" s="21" t="inlineStr">
        <is>
          <t>Sprint Planning</t>
        </is>
      </c>
      <c r="C15" s="22">
        <f>Equipo!$B$8</f>
        <v/>
      </c>
      <c r="D15" s="23" t="n">
        <v>46258</v>
      </c>
      <c r="E15" s="23" t="n">
        <v>46258</v>
      </c>
      <c r="F15" s="20" t="inlineStr">
        <is>
          <t>Completado</t>
        </is>
      </c>
      <c r="G15" s="45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</row>
    <row r="16" ht="18" customHeight="1">
      <c r="A16" s="20" t="inlineStr">
        <is>
          <t>Sprint 1</t>
        </is>
      </c>
      <c r="B16" s="21" t="inlineStr">
        <is>
          <t>Ventana principal: layout en grid y tema visual</t>
        </is>
      </c>
      <c r="C16" s="22">
        <f>Equipo!$B$5</f>
        <v/>
      </c>
      <c r="D16" s="23" t="n">
        <v>46258</v>
      </c>
      <c r="E16" s="23" t="n">
        <v>46260</v>
      </c>
      <c r="F16" s="20" t="inlineStr">
        <is>
          <t>Completado</t>
        </is>
      </c>
      <c r="G16" s="45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</row>
    <row r="17" ht="18" customHeight="1">
      <c r="A17" s="20" t="inlineStr">
        <is>
          <t>Sprint 1</t>
        </is>
      </c>
      <c r="B17" s="21" t="inlineStr">
        <is>
          <t>Barra lateral con botones de navegación</t>
        </is>
      </c>
      <c r="C17" s="22">
        <f>Equipo!$B$5</f>
        <v/>
      </c>
      <c r="D17" s="23" t="n">
        <v>46261</v>
      </c>
      <c r="E17" s="23" t="n">
        <v>46262</v>
      </c>
      <c r="F17" s="20" t="inlineStr">
        <is>
          <t>Completado</t>
        </is>
      </c>
      <c r="G17" s="45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</row>
    <row r="18" ht="18" customHeight="1">
      <c r="A18" s="20" t="inlineStr">
        <is>
          <t>Sprint 1</t>
        </is>
      </c>
      <c r="B18" s="21" t="inlineStr">
        <is>
          <t>Gestor de páginas y listeners de navegación</t>
        </is>
      </c>
      <c r="C18" s="22">
        <f>Equipo!$B$6</f>
        <v/>
      </c>
      <c r="D18" s="23" t="n">
        <v>46259</v>
      </c>
      <c r="E18" s="23" t="n">
        <v>46262</v>
      </c>
      <c r="F18" s="20" t="inlineStr">
        <is>
          <t>Completado</t>
        </is>
      </c>
      <c r="G18" s="45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</row>
    <row r="19" ht="18" customHeight="1">
      <c r="A19" s="20" t="inlineStr">
        <is>
          <t>Sprint 1</t>
        </is>
      </c>
      <c r="B19" s="21" t="inlineStr">
        <is>
          <t>Sistema de iconos vectoriales (PIL + CTkImage, supersampling)</t>
        </is>
      </c>
      <c r="C19" s="22">
        <f>Equipo!$B$7</f>
        <v/>
      </c>
      <c r="D19" s="23" t="n">
        <v>46259</v>
      </c>
      <c r="E19" s="23" t="n">
        <v>46261</v>
      </c>
      <c r="F19" s="20" t="inlineStr">
        <is>
          <t>Completado</t>
        </is>
      </c>
      <c r="G19" s="45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</row>
    <row r="20" ht="18" customHeight="1">
      <c r="A20" s="20" t="inlineStr">
        <is>
          <t>Sprint 1</t>
        </is>
      </c>
      <c r="B20" s="21" t="inlineStr">
        <is>
          <t>Página "Módulo Futuro"</t>
        </is>
      </c>
      <c r="C20" s="22">
        <f>Equipo!$B$7</f>
        <v/>
      </c>
      <c r="D20" s="23" t="n">
        <v>46262</v>
      </c>
      <c r="E20" s="23" t="n">
        <v>46262</v>
      </c>
      <c r="F20" s="20" t="inlineStr">
        <is>
          <t>Completado</t>
        </is>
      </c>
      <c r="G20" s="45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</row>
    <row r="21" ht="18" customHeight="1">
      <c r="A21" s="20" t="inlineStr">
        <is>
          <t>Sprint 2</t>
        </is>
      </c>
      <c r="B21" s="21" t="inlineStr">
        <is>
          <t>Sprint Planning</t>
        </is>
      </c>
      <c r="C21" s="22">
        <f>Equipo!$B$8</f>
        <v/>
      </c>
      <c r="D21" s="23" t="n">
        <v>46265</v>
      </c>
      <c r="E21" s="23" t="n">
        <v>46265</v>
      </c>
      <c r="F21" s="20" t="inlineStr">
        <is>
          <t>Completado</t>
        </is>
      </c>
      <c r="G21" s="45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</row>
    <row r="22" ht="18" customHeight="1">
      <c r="A22" s="20" t="inlineStr">
        <is>
          <t>Sprint 2</t>
        </is>
      </c>
      <c r="B22" s="21" t="inlineStr">
        <is>
          <t>Funciones de pendiente, ordenada, ecuación y dirección</t>
        </is>
      </c>
      <c r="C22" s="22">
        <f>Equipo!$B$6</f>
        <v/>
      </c>
      <c r="D22" s="23" t="n">
        <v>46266</v>
      </c>
      <c r="E22" s="23" t="n">
        <v>46267</v>
      </c>
      <c r="F22" s="20" t="inlineStr">
        <is>
          <t>Completado</t>
        </is>
      </c>
      <c r="G22" s="45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</row>
    <row r="23" ht="18" customHeight="1">
      <c r="A23" s="20" t="inlineStr">
        <is>
          <t>Sprint 2</t>
        </is>
      </c>
      <c r="B23" s="21" t="inlineStr">
        <is>
          <t>Generación de puntos de la trayectoria</t>
        </is>
      </c>
      <c r="C23" s="22">
        <f>Equipo!$B$6</f>
        <v/>
      </c>
      <c r="D23" s="23" t="n">
        <v>46268</v>
      </c>
      <c r="E23" s="23" t="n">
        <v>46269</v>
      </c>
      <c r="F23" s="20" t="inlineStr">
        <is>
          <t>Completado</t>
        </is>
      </c>
      <c r="G23" s="45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</row>
    <row r="24" ht="18" customHeight="1">
      <c r="A24" s="20" t="inlineStr">
        <is>
          <t>Sprint 2</t>
        </is>
      </c>
      <c r="B24" s="21" t="inlineStr">
        <is>
          <t>Plano cartesiano Matplotlib (ejes, escala 1:1, render)</t>
        </is>
      </c>
      <c r="C24" s="22">
        <f>Equipo!$B$5</f>
        <v/>
      </c>
      <c r="D24" s="23" t="n">
        <v>46266</v>
      </c>
      <c r="E24" s="23" t="n">
        <v>46268</v>
      </c>
      <c r="F24" s="20" t="inlineStr">
        <is>
          <t>Completado</t>
        </is>
      </c>
      <c r="G24" s="45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</row>
    <row r="25" ht="18" customHeight="1">
      <c r="A25" s="20" t="inlineStr">
        <is>
          <t>Sprint 2</t>
        </is>
      </c>
      <c r="B25" s="21" t="inlineStr">
        <is>
          <t>Formulario de entrada (x1, y1, x2, y2) y botones Calcular / Limpiar</t>
        </is>
      </c>
      <c r="C25" s="22">
        <f>Equipo!$B$7</f>
        <v/>
      </c>
      <c r="D25" s="23" t="n">
        <v>46266</v>
      </c>
      <c r="E25" s="23" t="n">
        <v>46267</v>
      </c>
      <c r="F25" s="20" t="inlineStr">
        <is>
          <t>Completado</t>
        </is>
      </c>
      <c r="G25" s="45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</row>
    <row r="26" ht="18" customHeight="1">
      <c r="A26" s="20" t="inlineStr">
        <is>
          <t>Sprint 2</t>
        </is>
      </c>
      <c r="B26" s="21" t="inlineStr">
        <is>
          <t>Tarjetas de datos analíticos (pendiente, ecuación, incrementos)</t>
        </is>
      </c>
      <c r="C26" s="22">
        <f>Equipo!$B$7</f>
        <v/>
      </c>
      <c r="D26" s="23" t="n">
        <v>46268</v>
      </c>
      <c r="E26" s="23" t="n">
        <v>46269</v>
      </c>
      <c r="F26" s="20" t="inlineStr">
        <is>
          <t>Completado</t>
        </is>
      </c>
      <c r="G26" s="45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</row>
    <row r="27" ht="18" customHeight="1">
      <c r="A27" s="20" t="inlineStr">
        <is>
          <t>Sprint 2</t>
        </is>
      </c>
      <c r="B27" s="21" t="inlineStr">
        <is>
          <t>Integración cálculo - gráfica</t>
        </is>
      </c>
      <c r="C27" s="22">
        <f>Equipo!$B$5</f>
        <v/>
      </c>
      <c r="D27" s="23" t="n">
        <v>46269</v>
      </c>
      <c r="E27" s="23" t="n">
        <v>46269</v>
      </c>
      <c r="F27" s="20" t="inlineStr">
        <is>
          <t>Completado</t>
        </is>
      </c>
      <c r="G27" s="45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</row>
    <row r="28" ht="18" customHeight="1">
      <c r="A28" s="20" t="inlineStr">
        <is>
          <t>Sprint 3</t>
        </is>
      </c>
      <c r="B28" s="21" t="inlineStr">
        <is>
          <t>Sprint Planning</t>
        </is>
      </c>
      <c r="C28" s="22">
        <f>Equipo!$B$8</f>
        <v/>
      </c>
      <c r="D28" s="23" t="n">
        <v>46272</v>
      </c>
      <c r="E28" s="23" t="n">
        <v>46272</v>
      </c>
      <c r="F28" s="20" t="inlineStr">
        <is>
          <t>Completado</t>
        </is>
      </c>
      <c r="G28" s="45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</row>
    <row r="29" ht="18" customHeight="1">
      <c r="A29" s="20" t="inlineStr">
        <is>
          <t>Sprint 3</t>
        </is>
      </c>
      <c r="B29" s="21" t="inlineStr">
        <is>
          <t>Tabla CTkTable con los puntos y pasos de la recta</t>
        </is>
      </c>
      <c r="C29" s="22">
        <f>Equipo!$B$6</f>
        <v/>
      </c>
      <c r="D29" s="23" t="n">
        <v>46272</v>
      </c>
      <c r="E29" s="23" t="n">
        <v>46273</v>
      </c>
      <c r="F29" s="20" t="inlineStr">
        <is>
          <t>Completado</t>
        </is>
      </c>
      <c r="G29" s="45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n"/>
    </row>
    <row r="30" ht="18" customHeight="1">
      <c r="A30" s="20" t="inlineStr">
        <is>
          <t>Sprint 3</t>
        </is>
      </c>
      <c r="B30" s="21" t="inlineStr">
        <is>
          <t>Clasificación: 4 positivos, 4 negativos y 3 especiales</t>
        </is>
      </c>
      <c r="C30" s="22">
        <f>Equipo!$B$6</f>
        <v/>
      </c>
      <c r="D30" s="23" t="n">
        <v>46274</v>
      </c>
      <c r="E30" s="23" t="n">
        <v>46276</v>
      </c>
      <c r="F30" s="20" t="inlineStr">
        <is>
          <t>Completado</t>
        </is>
      </c>
      <c r="G30" s="45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</row>
    <row r="31" ht="18" customHeight="1">
      <c r="A31" s="20" t="inlineStr">
        <is>
          <t>Sprint 3</t>
        </is>
      </c>
      <c r="B31" s="21" t="inlineStr">
        <is>
          <t>Recta vertical y punto único: cálculo y dibujo</t>
        </is>
      </c>
      <c r="C31" s="22">
        <f>Equipo!$B$5</f>
        <v/>
      </c>
      <c r="D31" s="23" t="n">
        <v>46273</v>
      </c>
      <c r="E31" s="23" t="n">
        <v>46274</v>
      </c>
      <c r="F31" s="20" t="inlineStr">
        <is>
          <t>Completado</t>
        </is>
      </c>
      <c r="G31" s="45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</row>
    <row r="32" ht="18" customHeight="1">
      <c r="A32" s="20" t="inlineStr">
        <is>
          <t>Sprint 3</t>
        </is>
      </c>
      <c r="B32" s="21" t="inlineStr">
        <is>
          <t>Pruebas unitarias de la lógica y de todos los casos de trazo</t>
        </is>
      </c>
      <c r="C32" s="22">
        <f>Equipo!$B$5</f>
        <v/>
      </c>
      <c r="D32" s="23" t="n">
        <v>46275</v>
      </c>
      <c r="E32" s="23" t="n">
        <v>46276</v>
      </c>
      <c r="F32" s="20" t="inlineStr">
        <is>
          <t>Completado</t>
        </is>
      </c>
      <c r="G32" s="45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</row>
    <row r="33" ht="18" customHeight="1">
      <c r="A33" s="20" t="inlineStr">
        <is>
          <t>Sprint 3</t>
        </is>
      </c>
      <c r="B33" s="21" t="inlineStr">
        <is>
          <t>Validación de entradas y manejo de errores</t>
        </is>
      </c>
      <c r="C33" s="22">
        <f>Equipo!$B$7</f>
        <v/>
      </c>
      <c r="D33" s="23" t="n">
        <v>46273</v>
      </c>
      <c r="E33" s="23" t="n">
        <v>46274</v>
      </c>
      <c r="F33" s="20" t="inlineStr">
        <is>
          <t>Completado</t>
        </is>
      </c>
      <c r="G33" s="45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</row>
    <row r="34" ht="18" customHeight="1">
      <c r="A34" s="20" t="inlineStr">
        <is>
          <t>Sprint 3</t>
        </is>
      </c>
      <c r="B34" s="21" t="inlineStr">
        <is>
          <t>Franja «Caso detectado» en la interfaz</t>
        </is>
      </c>
      <c r="C34" s="22">
        <f>Equipo!$B$7</f>
        <v/>
      </c>
      <c r="D34" s="23" t="n">
        <v>46275</v>
      </c>
      <c r="E34" s="23" t="n">
        <v>46276</v>
      </c>
      <c r="F34" s="20" t="inlineStr">
        <is>
          <t>Completado</t>
        </is>
      </c>
      <c r="G34" s="45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</row>
    <row r="35" ht="18" customHeight="1">
      <c r="A35" s="20" t="inlineStr">
        <is>
          <t>Sprint 4</t>
        </is>
      </c>
      <c r="B35" s="21" t="inlineStr">
        <is>
          <t>Sprint Planning</t>
        </is>
      </c>
      <c r="C35" s="22">
        <f>Equipo!$B$8</f>
        <v/>
      </c>
      <c r="D35" s="23" t="n">
        <v>46279</v>
      </c>
      <c r="E35" s="23" t="n">
        <v>46279</v>
      </c>
      <c r="F35" s="20" t="inlineStr">
        <is>
          <t>Completado</t>
        </is>
      </c>
      <c r="G35" s="45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</row>
    <row r="36" ht="18" customHeight="1">
      <c r="A36" s="20" t="inlineStr">
        <is>
          <t>Sprint 4</t>
        </is>
      </c>
      <c r="B36" s="21" t="inlineStr">
        <is>
          <t>Rediseño visual: esquinas redondeadas, paleta y tipografía</t>
        </is>
      </c>
      <c r="C36" s="22">
        <f>Equipo!$B$6</f>
        <v/>
      </c>
      <c r="D36" s="23" t="n">
        <v>46279</v>
      </c>
      <c r="E36" s="23" t="n">
        <v>46282</v>
      </c>
      <c r="F36" s="20" t="inlineStr">
        <is>
          <t>Completado</t>
        </is>
      </c>
      <c r="G36" s="45" t="n"/>
      <c r="H36" s="19" t="n"/>
      <c r="I36" s="19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</row>
    <row r="37" ht="18" customHeight="1">
      <c r="A37" s="20" t="inlineStr">
        <is>
          <t>Sprint 4</t>
        </is>
      </c>
      <c r="B37" s="21" t="inlineStr">
        <is>
          <t>Ecuaciones simplificadas (y = x, y = 2, x = 3)</t>
        </is>
      </c>
      <c r="C37" s="22">
        <f>Equipo!$B$6</f>
        <v/>
      </c>
      <c r="D37" s="23" t="n">
        <v>46283</v>
      </c>
      <c r="E37" s="23" t="n">
        <v>46283</v>
      </c>
      <c r="F37" s="20" t="inlineStr">
        <is>
          <t>Completado</t>
        </is>
      </c>
      <c r="G37" s="45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</row>
    <row r="38" ht="18" customHeight="1">
      <c r="A38" s="20" t="inlineStr">
        <is>
          <t>Sprint 4</t>
        </is>
      </c>
      <c r="B38" s="21" t="inlineStr">
        <is>
          <t>Modo Oscuro / Claro con CTkSwitch y sincronización del plano</t>
        </is>
      </c>
      <c r="C38" s="22">
        <f>Equipo!$B$7</f>
        <v/>
      </c>
      <c r="D38" s="23" t="n">
        <v>46279</v>
      </c>
      <c r="E38" s="23" t="n">
        <v>46280</v>
      </c>
      <c r="F38" s="20" t="inlineStr">
        <is>
          <t>Completado</t>
        </is>
      </c>
      <c r="G38" s="45" t="n"/>
      <c r="H38" s="19" t="n"/>
      <c r="I38" s="19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</row>
    <row r="39" ht="18" customHeight="1">
      <c r="A39" s="20" t="inlineStr">
        <is>
          <t>Sprint 4</t>
        </is>
      </c>
      <c r="B39" s="21" t="inlineStr">
        <is>
          <t>Plano predominante y ajuste responsivo</t>
        </is>
      </c>
      <c r="C39" s="22">
        <f>Equipo!$B$5</f>
        <v/>
      </c>
      <c r="D39" s="23" t="n">
        <v>46279</v>
      </c>
      <c r="E39" s="23" t="n">
        <v>46280</v>
      </c>
      <c r="F39" s="20" t="inlineStr">
        <is>
          <t>Completado</t>
        </is>
      </c>
      <c r="G39" s="45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</row>
    <row r="40" ht="18" customHeight="1">
      <c r="A40" s="20" t="inlineStr">
        <is>
          <t>Sprint 4</t>
        </is>
      </c>
      <c r="B40" s="21" t="inlineStr">
        <is>
          <t>Pruebas de navegación, interacción y regresión</t>
        </is>
      </c>
      <c r="C40" s="22">
        <f>Equipo!$B$5</f>
        <v/>
      </c>
      <c r="D40" s="23" t="n">
        <v>46282</v>
      </c>
      <c r="E40" s="23" t="n">
        <v>46283</v>
      </c>
      <c r="F40" s="20" t="inlineStr">
        <is>
          <t>Completado</t>
        </is>
      </c>
      <c r="G40" s="45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</row>
    <row r="41" ht="18" customHeight="1">
      <c r="A41" s="20" t="inlineStr">
        <is>
          <t>Sprint 4</t>
        </is>
      </c>
      <c r="B41" s="21" t="inlineStr">
        <is>
          <t>Documentación final (README)</t>
        </is>
      </c>
      <c r="C41" s="22">
        <f>Equipo!$B$7</f>
        <v/>
      </c>
      <c r="D41" s="23" t="n">
        <v>46282</v>
      </c>
      <c r="E41" s="23" t="n">
        <v>46283</v>
      </c>
      <c r="F41" s="20" t="inlineStr">
        <is>
          <t>Completado</t>
        </is>
      </c>
      <c r="G41" s="45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</row>
    <row r="42" ht="18" customHeight="1">
      <c r="A42" s="20" t="inlineStr">
        <is>
          <t>Sprint 4</t>
        </is>
      </c>
      <c r="B42" s="21" t="inlineStr">
        <is>
          <t>Sprint Review y Retrospectiva final</t>
        </is>
      </c>
      <c r="C42" s="22">
        <f>Equipo!$B$8</f>
        <v/>
      </c>
      <c r="D42" s="23" t="n">
        <v>46283</v>
      </c>
      <c r="E42" s="23" t="n">
        <v>46283</v>
      </c>
      <c r="F42" s="20" t="inlineStr">
        <is>
          <t>Completado</t>
        </is>
      </c>
      <c r="G42" s="45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</row>
    <row r="43" ht="18" customHeight="1">
      <c r="A43" s="20" t="inlineStr">
        <is>
          <t>Entrega</t>
        </is>
      </c>
      <c r="B43" s="21" t="inlineStr">
        <is>
          <t>Entrega 1: módulo de rectas (entrega: 26/09/2026)</t>
        </is>
      </c>
      <c r="C43" s="22">
        <f>Equipo!$B$8</f>
        <v/>
      </c>
      <c r="D43" s="23" t="n">
        <v>46286</v>
      </c>
      <c r="E43" s="23" t="n">
        <v>46286</v>
      </c>
      <c r="F43" s="20" t="inlineStr">
        <is>
          <t>Completado</t>
        </is>
      </c>
      <c r="G43" s="45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</row>
    <row r="44" ht="18" customHeight="1">
      <c r="A44" s="20" t="inlineStr">
        <is>
          <t>Sprint 5</t>
        </is>
      </c>
      <c r="B44" s="21" t="inlineStr">
        <is>
          <t>Sprint Planning</t>
        </is>
      </c>
      <c r="C44" s="22">
        <f>Equipo!$B$8</f>
        <v/>
      </c>
      <c r="D44" s="23" t="n">
        <v>46293</v>
      </c>
      <c r="E44" s="23" t="n">
        <v>46293</v>
      </c>
      <c r="F44" s="20" t="inlineStr">
        <is>
          <t>Completado</t>
        </is>
      </c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</row>
    <row r="45" ht="18" customHeight="1">
      <c r="A45" s="20" t="inlineStr">
        <is>
          <t>Sprint 5</t>
        </is>
      </c>
      <c r="B45" s="21" t="inlineStr">
        <is>
          <t>Investigación: área (Gauss), perímetro y clasificación de triángulos</t>
        </is>
      </c>
      <c r="C45" s="22">
        <f>Equipo!$B$6</f>
        <v/>
      </c>
      <c r="D45" s="23" t="n">
        <v>46294</v>
      </c>
      <c r="E45" s="23" t="n">
        <v>46296</v>
      </c>
      <c r="F45" s="20" t="inlineStr">
        <is>
          <t>Completado</t>
        </is>
      </c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</row>
    <row r="46" ht="18" customHeight="1">
      <c r="A46" s="20" t="inlineStr">
        <is>
          <t>Sprint 5</t>
        </is>
      </c>
      <c r="B46" s="21" t="inlineStr">
        <is>
          <t>Tabla de casos DDA de las líneas del triángulo</t>
        </is>
      </c>
      <c r="C46" s="22">
        <f>Equipo!$B$7</f>
        <v/>
      </c>
      <c r="D46" s="23" t="n">
        <v>46294</v>
      </c>
      <c r="E46" s="23" t="n">
        <v>46297</v>
      </c>
      <c r="F46" s="20" t="inlineStr">
        <is>
          <t>Completado</t>
        </is>
      </c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</row>
    <row r="47" ht="18" customHeight="1">
      <c r="A47" s="20" t="inlineStr">
        <is>
          <t>Sprint 5</t>
        </is>
      </c>
      <c r="B47" s="21" t="inlineStr">
        <is>
          <t>Zoom con la rueda y arrastre del plano cartesiano</t>
        </is>
      </c>
      <c r="C47" s="22">
        <f>Equipo!$B$5</f>
        <v/>
      </c>
      <c r="D47" s="23" t="n">
        <v>46294</v>
      </c>
      <c r="E47" s="23" t="n">
        <v>46297</v>
      </c>
      <c r="F47" s="20" t="inlineStr">
        <is>
          <t>Completado</t>
        </is>
      </c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</row>
    <row r="48" ht="18" customHeight="1">
      <c r="A48" s="20" t="inlineStr">
        <is>
          <t>Sprint 5</t>
        </is>
      </c>
      <c r="B48" s="21" t="inlineStr">
        <is>
          <t>Sprint Review y Retrospectiva</t>
        </is>
      </c>
      <c r="C48" s="22">
        <f>Equipo!$B$8</f>
        <v/>
      </c>
      <c r="D48" s="23" t="n">
        <v>46297</v>
      </c>
      <c r="E48" s="23" t="n">
        <v>46297</v>
      </c>
      <c r="F48" s="20" t="inlineStr">
        <is>
          <t>Completado</t>
        </is>
      </c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</row>
    <row r="49" ht="18" customHeight="1">
      <c r="A49" s="20" t="inlineStr">
        <is>
          <t>Sprint 6</t>
        </is>
      </c>
      <c r="B49" s="21" t="inlineStr">
        <is>
          <t>Sprint Planning</t>
        </is>
      </c>
      <c r="C49" s="22">
        <f>Equipo!$B$8</f>
        <v/>
      </c>
      <c r="D49" s="23" t="n">
        <v>46300</v>
      </c>
      <c r="E49" s="23" t="n">
        <v>46300</v>
      </c>
      <c r="F49" s="20" t="inlineStr">
        <is>
          <t>Completado</t>
        </is>
      </c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</row>
    <row r="50" ht="18" customHeight="1">
      <c r="A50" s="20" t="inlineStr">
        <is>
          <t>Sprint 6</t>
        </is>
      </c>
      <c r="B50" s="21" t="inlineStr">
        <is>
          <t>Página del triángulo: 3 vértices, métricas y clasificación</t>
        </is>
      </c>
      <c r="C50" s="22">
        <f>Equipo!$B$6</f>
        <v/>
      </c>
      <c r="D50" s="23" t="n">
        <v>46300</v>
      </c>
      <c r="E50" s="23" t="n">
        <v>46303</v>
      </c>
      <c r="F50" s="20" t="inlineStr">
        <is>
          <t>Completado</t>
        </is>
      </c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</row>
    <row r="51" ht="18" customHeight="1">
      <c r="A51" s="20" t="inlineStr">
        <is>
          <t>Sprint 6</t>
        </is>
      </c>
      <c r="B51" s="21" t="inlineStr">
        <is>
          <t>Lados AB, BC y CA con DDA y tabla por línea</t>
        </is>
      </c>
      <c r="C51" s="22">
        <f>Equipo!$B$5</f>
        <v/>
      </c>
      <c r="D51" s="23" t="n">
        <v>46301</v>
      </c>
      <c r="E51" s="23" t="n">
        <v>46302</v>
      </c>
      <c r="F51" s="20" t="inlineStr">
        <is>
          <t>Completado</t>
        </is>
      </c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</row>
    <row r="52" ht="18" customHeight="1">
      <c r="A52" s="20" t="inlineStr">
        <is>
          <t>Sprint 6</t>
        </is>
      </c>
      <c r="B52" s="21" t="inlineStr">
        <is>
          <t>Relleno DDA desde cada vértice y ajuste al contorno</t>
        </is>
      </c>
      <c r="C52" s="22">
        <f>Equipo!$B$5</f>
        <v/>
      </c>
      <c r="D52" s="23" t="n">
        <v>46303</v>
      </c>
      <c r="E52" s="23" t="n">
        <v>46304</v>
      </c>
      <c r="F52" s="20" t="inlineStr">
        <is>
          <t>Completado</t>
        </is>
      </c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</row>
    <row r="53" ht="18" customHeight="1">
      <c r="A53" s="20" t="inlineStr">
        <is>
          <t>Sprint 6</t>
        </is>
      </c>
      <c r="B53" s="21" t="inlineStr">
        <is>
          <t>Diagrama de flujo actualizado (recta y triángulo)</t>
        </is>
      </c>
      <c r="C53" s="22">
        <f>Equipo!$B$7</f>
        <v/>
      </c>
      <c r="D53" s="23" t="n">
        <v>46301</v>
      </c>
      <c r="E53" s="23" t="n">
        <v>46304</v>
      </c>
      <c r="F53" s="20" t="inlineStr">
        <is>
          <t>Completado</t>
        </is>
      </c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</row>
    <row r="54" ht="18" customHeight="1">
      <c r="A54" s="20" t="inlineStr">
        <is>
          <t>Sprint 6</t>
        </is>
      </c>
      <c r="B54" s="21" t="inlineStr">
        <is>
          <t>Sprint Review y Retrospectiva</t>
        </is>
      </c>
      <c r="C54" s="22">
        <f>Equipo!$B$8</f>
        <v/>
      </c>
      <c r="D54" s="23" t="n">
        <v>46304</v>
      </c>
      <c r="E54" s="23" t="n">
        <v>46304</v>
      </c>
      <c r="F54" s="20" t="inlineStr">
        <is>
          <t>Completado</t>
        </is>
      </c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</row>
    <row r="55" ht="18" customHeight="1">
      <c r="A55" s="20" t="inlineStr">
        <is>
          <t>Sprint 7</t>
        </is>
      </c>
      <c r="B55" s="21" t="inlineStr">
        <is>
          <t>Sprint Planning</t>
        </is>
      </c>
      <c r="C55" s="22">
        <f>Equipo!$B$8</f>
        <v/>
      </c>
      <c r="D55" s="23" t="n">
        <v>46307</v>
      </c>
      <c r="E55" s="23" t="n">
        <v>46307</v>
      </c>
      <c r="F55" s="20" t="inlineStr">
        <is>
          <t>Completado</t>
        </is>
      </c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</row>
    <row r="56" ht="18" customHeight="1">
      <c r="A56" s="20" t="inlineStr">
        <is>
          <t>Sprint 7</t>
        </is>
      </c>
      <c r="B56" s="21" t="inlineStr">
        <is>
          <t>Investigación: algoritmo de punto medio para la circunferencia</t>
        </is>
      </c>
      <c r="C56" s="22">
        <f>Equipo!$B$6</f>
        <v/>
      </c>
      <c r="D56" s="23" t="n">
        <v>46307</v>
      </c>
      <c r="E56" s="23" t="n">
        <v>46308</v>
      </c>
      <c r="F56" s="20" t="inlineStr">
        <is>
          <t>Completado</t>
        </is>
      </c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</row>
    <row r="57" ht="18" customHeight="1">
      <c r="A57" s="20" t="inlineStr">
        <is>
          <t>Sprint 7</t>
        </is>
      </c>
      <c r="B57" s="21" t="inlineStr">
        <is>
          <t>Punto medio de Bresenham, simetría de 8 octantes y traslación del centro</t>
        </is>
      </c>
      <c r="C57" s="22">
        <f>Equipo!$B$6</f>
        <v/>
      </c>
      <c r="D57" s="23" t="n">
        <v>46309</v>
      </c>
      <c r="E57" s="23" t="n">
        <v>46311</v>
      </c>
      <c r="F57" s="20" t="inlineStr">
        <is>
          <t>Completado</t>
        </is>
      </c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</row>
    <row r="58" ht="18" customHeight="1">
      <c r="A58" s="20" t="inlineStr">
        <is>
          <t>Sprint 7</t>
        </is>
      </c>
      <c r="B58" s="21" t="inlineStr">
        <is>
          <t>Wireframe de la página del círculo (pestañas, plantillas, traslación)</t>
        </is>
      </c>
      <c r="C58" s="22">
        <f>Equipo!$B$7</f>
        <v/>
      </c>
      <c r="D58" s="23" t="n">
        <v>46308</v>
      </c>
      <c r="E58" s="23" t="n">
        <v>46309</v>
      </c>
      <c r="F58" s="20" t="inlineStr">
        <is>
          <t>Completado</t>
        </is>
      </c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</row>
    <row r="59" ht="18" customHeight="1">
      <c r="A59" s="20" t="inlineStr">
        <is>
          <t>Sprint 7</t>
        </is>
      </c>
      <c r="B59" s="21" t="inlineStr">
        <is>
          <t>Tarjetas del círculo: ecuaciones y métricas geométricas</t>
        </is>
      </c>
      <c r="C59" s="22">
        <f>Equipo!$B$7</f>
        <v/>
      </c>
      <c r="D59" s="23" t="n">
        <v>46310</v>
      </c>
      <c r="E59" s="23" t="n">
        <v>46311</v>
      </c>
      <c r="F59" s="20" t="inlineStr">
        <is>
          <t>Completado</t>
        </is>
      </c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n"/>
      <c r="BR59" s="19" t="n"/>
      <c r="BS59" s="19" t="n"/>
      <c r="BT59" s="19" t="n"/>
      <c r="BU59" s="19" t="n"/>
      <c r="BV59" s="19" t="n"/>
      <c r="BW59" s="19" t="n"/>
      <c r="BX59" s="19" t="n"/>
    </row>
    <row r="60" ht="18" customHeight="1">
      <c r="A60" s="20" t="inlineStr">
        <is>
          <t>Sprint 7</t>
        </is>
      </c>
      <c r="B60" s="21" t="inlineStr">
        <is>
          <t>Pruebas de regresión de la recta y el triángulo</t>
        </is>
      </c>
      <c r="C60" s="22">
        <f>Equipo!$B$5</f>
        <v/>
      </c>
      <c r="D60" s="23" t="n">
        <v>46308</v>
      </c>
      <c r="E60" s="23" t="n">
        <v>46311</v>
      </c>
      <c r="F60" s="20" t="inlineStr">
        <is>
          <t>Completado</t>
        </is>
      </c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</row>
    <row r="61" ht="18" customHeight="1">
      <c r="A61" s="20" t="inlineStr">
        <is>
          <t>Sprint 7</t>
        </is>
      </c>
      <c r="B61" s="21" t="inlineStr">
        <is>
          <t>Sprint Review y Retrospectiva</t>
        </is>
      </c>
      <c r="C61" s="22">
        <f>Equipo!$B$8</f>
        <v/>
      </c>
      <c r="D61" s="23" t="n">
        <v>46311</v>
      </c>
      <c r="E61" s="23" t="n">
        <v>46311</v>
      </c>
      <c r="F61" s="20" t="inlineStr">
        <is>
          <t>Completado</t>
        </is>
      </c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</row>
    <row r="62" ht="18" customHeight="1">
      <c r="A62" s="20" t="inlineStr">
        <is>
          <t>Sprint 8</t>
        </is>
      </c>
      <c r="B62" s="21" t="inlineStr">
        <is>
          <t>Sprint Planning</t>
        </is>
      </c>
      <c r="C62" s="22">
        <f>Equipo!$B$8</f>
        <v/>
      </c>
      <c r="D62" s="23" t="n">
        <v>46314</v>
      </c>
      <c r="E62" s="23" t="n">
        <v>46314</v>
      </c>
      <c r="F62" s="20" t="inlineStr">
        <is>
          <t>Completado</t>
        </is>
      </c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</row>
    <row r="63" ht="18" customHeight="1">
      <c r="A63" s="20" t="inlineStr">
        <is>
          <t>Sprint 8</t>
        </is>
      </c>
      <c r="B63" s="21" t="inlineStr">
        <is>
          <t>Rellenos del círculo: DDA radial, cuerdas y círculos concéntricos</t>
        </is>
      </c>
      <c r="C63" s="22">
        <f>Equipo!$B$6</f>
        <v/>
      </c>
      <c r="D63" s="23" t="n">
        <v>46314</v>
      </c>
      <c r="E63" s="23" t="n">
        <v>46316</v>
      </c>
      <c r="F63" s="20" t="inlineStr">
        <is>
          <t>Completado</t>
        </is>
      </c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  <c r="BK63" s="19" t="n"/>
      <c r="BL63" s="19" t="n"/>
      <c r="BM63" s="19" t="n"/>
      <c r="BN63" s="19" t="n"/>
      <c r="BO63" s="19" t="n"/>
      <c r="BP63" s="19" t="n"/>
      <c r="BQ63" s="19" t="n"/>
      <c r="BR63" s="19" t="n"/>
      <c r="BS63" s="19" t="n"/>
      <c r="BT63" s="19" t="n"/>
      <c r="BU63" s="19" t="n"/>
      <c r="BV63" s="19" t="n"/>
      <c r="BW63" s="19" t="n"/>
      <c r="BX63" s="19" t="n"/>
    </row>
    <row r="64" ht="18" customHeight="1">
      <c r="A64" s="20" t="inlineStr">
        <is>
          <t>Sprint 8</t>
        </is>
      </c>
      <c r="B64" s="21" t="inlineStr">
        <is>
          <t>Pestañas de tablas: iteraciones, octantes y líneas DDA paginadas</t>
        </is>
      </c>
      <c r="C64" s="22">
        <f>Equipo!$B$7</f>
        <v/>
      </c>
      <c r="D64" s="23" t="n">
        <v>46314</v>
      </c>
      <c r="E64" s="23" t="n">
        <v>46315</v>
      </c>
      <c r="F64" s="20" t="inlineStr">
        <is>
          <t>Completado</t>
        </is>
      </c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</row>
    <row r="65" ht="18" customHeight="1">
      <c r="A65" s="20" t="inlineStr">
        <is>
          <t>Sprint 8</t>
        </is>
      </c>
      <c r="B65" s="21" t="inlineStr">
        <is>
          <t>Plantillas de prueba y botones de traslación del centro</t>
        </is>
      </c>
      <c r="C65" s="22">
        <f>Equipo!$B$7</f>
        <v/>
      </c>
      <c r="D65" s="23" t="n">
        <v>46316</v>
      </c>
      <c r="E65" s="23" t="n">
        <v>46316</v>
      </c>
      <c r="F65" s="20" t="inlineStr">
        <is>
          <t>Completado</t>
        </is>
      </c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  <c r="BK65" s="19" t="n"/>
      <c r="BL65" s="19" t="n"/>
      <c r="BM65" s="19" t="n"/>
      <c r="BN65" s="19" t="n"/>
      <c r="BO65" s="19" t="n"/>
      <c r="BP65" s="19" t="n"/>
      <c r="BQ65" s="19" t="n"/>
      <c r="BR65" s="19" t="n"/>
      <c r="BS65" s="19" t="n"/>
      <c r="BT65" s="19" t="n"/>
      <c r="BU65" s="19" t="n"/>
      <c r="BV65" s="19" t="n"/>
      <c r="BW65" s="19" t="n"/>
      <c r="BX65" s="19" t="n"/>
    </row>
    <row r="66" ht="18" customHeight="1">
      <c r="A66" s="20" t="inlineStr">
        <is>
          <t>Sprint 8</t>
        </is>
      </c>
      <c r="B66" s="21" t="inlineStr">
        <is>
          <t>Reestructura para trabajo con IA (core/, ui/, pages/, AGENTS.md)</t>
        </is>
      </c>
      <c r="C66" s="22">
        <f>Equipo!$B$5</f>
        <v/>
      </c>
      <c r="D66" s="23" t="n">
        <v>46314</v>
      </c>
      <c r="E66" s="23" t="n">
        <v>46315</v>
      </c>
      <c r="F66" s="20" t="inlineStr">
        <is>
          <t>Completado</t>
        </is>
      </c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</row>
    <row r="67" ht="18" customHeight="1">
      <c r="A67" s="20" t="inlineStr">
        <is>
          <t>Sprint 8</t>
        </is>
      </c>
      <c r="B67" s="21" t="inlineStr">
        <is>
          <t>Relleno del círculo con el programa de la línea y verificación contra el PDF</t>
        </is>
      </c>
      <c r="C67" s="22">
        <f>Equipo!$B$5</f>
        <v/>
      </c>
      <c r="D67" s="23" t="n">
        <v>46316</v>
      </c>
      <c r="E67" s="23" t="n">
        <v>46317</v>
      </c>
      <c r="F67" s="20" t="inlineStr">
        <is>
          <t>Completado</t>
        </is>
      </c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  <c r="BK67" s="19" t="n"/>
      <c r="BL67" s="19" t="n"/>
      <c r="BM67" s="19" t="n"/>
      <c r="BN67" s="19" t="n"/>
      <c r="BO67" s="19" t="n"/>
      <c r="BP67" s="19" t="n"/>
      <c r="BQ67" s="19" t="n"/>
      <c r="BR67" s="19" t="n"/>
      <c r="BS67" s="19" t="n"/>
      <c r="BT67" s="19" t="n"/>
      <c r="BU67" s="19" t="n"/>
      <c r="BV67" s="19" t="n"/>
      <c r="BW67" s="19" t="n"/>
      <c r="BX67" s="19" t="n"/>
    </row>
    <row r="68" ht="18" customHeight="1">
      <c r="A68" s="20" t="inlineStr">
        <is>
          <t>Sprint 8</t>
        </is>
      </c>
      <c r="B68" s="21" t="inlineStr">
        <is>
          <t>Corroboración: C(100,100) R=51 · C(50,50) R=9 · C(200,150) R=91</t>
        </is>
      </c>
      <c r="C68" s="22">
        <f>Equipo!$B$6</f>
        <v/>
      </c>
      <c r="D68" s="23" t="n">
        <v>46317</v>
      </c>
      <c r="E68" s="23" t="n">
        <v>46318</v>
      </c>
      <c r="F68" s="20" t="inlineStr">
        <is>
          <t>Completado</t>
        </is>
      </c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</row>
    <row r="69" ht="18" customHeight="1">
      <c r="A69" s="20" t="inlineStr">
        <is>
          <t>Sprint 8</t>
        </is>
      </c>
      <c r="B69" s="21" t="inlineStr">
        <is>
          <t>Diagrama de flujo v3 y diagrama de Gantt v2</t>
        </is>
      </c>
      <c r="C69" s="22">
        <f>Equipo!$B$7</f>
        <v/>
      </c>
      <c r="D69" s="23" t="n">
        <v>46317</v>
      </c>
      <c r="E69" s="23" t="n">
        <v>46318</v>
      </c>
      <c r="F69" s="20" t="inlineStr">
        <is>
          <t>Completado</t>
        </is>
      </c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9" t="n"/>
      <c r="BJ69" s="19" t="n"/>
      <c r="BK69" s="19" t="n"/>
      <c r="BL69" s="19" t="n"/>
      <c r="BM69" s="19" t="n"/>
      <c r="BN69" s="19" t="n"/>
      <c r="BO69" s="19" t="n"/>
      <c r="BP69" s="19" t="n"/>
      <c r="BQ69" s="19" t="n"/>
      <c r="BR69" s="19" t="n"/>
      <c r="BS69" s="19" t="n"/>
      <c r="BT69" s="19" t="n"/>
      <c r="BU69" s="19" t="n"/>
      <c r="BV69" s="19" t="n"/>
      <c r="BW69" s="19" t="n"/>
      <c r="BX69" s="19" t="n"/>
    </row>
    <row r="70" ht="18" customHeight="1">
      <c r="A70" s="20" t="inlineStr">
        <is>
          <t>Sprint 8</t>
        </is>
      </c>
      <c r="B70" s="21" t="inlineStr">
        <is>
          <t>README y documentación final</t>
        </is>
      </c>
      <c r="C70" s="22">
        <f>Equipo!$B$5</f>
        <v/>
      </c>
      <c r="D70" s="23" t="n">
        <v>46318</v>
      </c>
      <c r="E70" s="23" t="n">
        <v>46318</v>
      </c>
      <c r="F70" s="20" t="inlineStr">
        <is>
          <t>Completado</t>
        </is>
      </c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</row>
    <row r="71" ht="18" customHeight="1">
      <c r="A71" s="20" t="inlineStr">
        <is>
          <t>Sprint 8</t>
        </is>
      </c>
      <c r="B71" s="21" t="inlineStr">
        <is>
          <t>Sprint Review y Retrospectiva final</t>
        </is>
      </c>
      <c r="C71" s="22">
        <f>Equipo!$B$8</f>
        <v/>
      </c>
      <c r="D71" s="23" t="n">
        <v>46318</v>
      </c>
      <c r="E71" s="23" t="n">
        <v>46318</v>
      </c>
      <c r="F71" s="20" t="inlineStr">
        <is>
          <t>Completado</t>
        </is>
      </c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</row>
    <row r="72" ht="18" customHeight="1">
      <c r="A72" s="20" t="inlineStr">
        <is>
          <t>Entrega</t>
        </is>
      </c>
      <c r="B72" s="21" t="inlineStr">
        <is>
          <t>Entrega 2: triángulo y circunferencia (entrega: 24/10/2026)</t>
        </is>
      </c>
      <c r="C72" s="22">
        <f>Equipo!$B$8</f>
        <v/>
      </c>
      <c r="D72" s="23" t="n">
        <v>46318</v>
      </c>
      <c r="E72" s="23" t="n">
        <v>46318</v>
      </c>
      <c r="F72" s="20" t="inlineStr">
        <is>
          <t>Completado</t>
        </is>
      </c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</row>
  </sheetData>
  <mergeCells count="13">
    <mergeCell ref="AX6:BD6"/>
    <mergeCell ref="W5:AZ5"/>
    <mergeCell ref="BS6:BX6"/>
    <mergeCell ref="V6:AB6"/>
    <mergeCell ref="H6:N6"/>
    <mergeCell ref="H5:V5"/>
    <mergeCell ref="AC6:AI6"/>
    <mergeCell ref="BA5:BX5"/>
    <mergeCell ref="BE6:BK6"/>
    <mergeCell ref="AQ6:AW6"/>
    <mergeCell ref="O6:U6"/>
    <mergeCell ref="BL6:BR6"/>
    <mergeCell ref="AJ6:AP6"/>
  </mergeCells>
  <conditionalFormatting sqref="H7:BX7">
    <cfRule type="expression" priority="10" dxfId="6">
      <formula>WEEKDAY(H$8,2)&gt;5</formula>
    </cfRule>
  </conditionalFormatting>
  <conditionalFormatting sqref="H9:BX72">
    <cfRule type="expression" priority="2" dxfId="5" stopIfTrue="1">
      <formula>WEEKDAY(H$8,2)&gt;5</formula>
    </cfRule>
    <cfRule type="expression" priority="5" dxfId="4" stopIfTrue="1">
      <formula>AND($C9=$B$4,AND(H$8&gt;=$D9,H$8&lt;=$E9))</formula>
    </cfRule>
    <cfRule type="expression" priority="6" dxfId="3" stopIfTrue="1">
      <formula>AND($C9=$B$5,AND(H$8&gt;=$D9,H$8&lt;=$E9))</formula>
    </cfRule>
    <cfRule type="expression" priority="7" dxfId="2" stopIfTrue="1">
      <formula>AND($C9=$B$6,AND(H$8&gt;=$D9,H$8&lt;=$E9))</formula>
    </cfRule>
    <cfRule type="expression" priority="8" dxfId="1" stopIfTrue="1">
      <formula>AND($C9=$B$7,AND(H$8&gt;=$D9,H$8&lt;=$E9))</formula>
    </cfRule>
    <cfRule type="expression" priority="1" dxfId="0" stopIfTrue="1">
      <formula>H$8=DiaSinTrabajo</formula>
    </cfRule>
  </conditionalFormatting>
  <dataValidations count="1">
    <dataValidation sqref="C9:C72" showDropDown="0" showInputMessage="0" showErrorMessage="0" allowBlank="1" type="list">
      <formula1>Equipo!$B$5:$B$8</formula1>
    </dataValidation>
  </dataValidation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10" defaultColWidth="8.88671875" defaultRowHeight="14.4"/>
  <cols>
    <col width="16" customWidth="1" min="1" max="1"/>
    <col width="26" customWidth="1" min="2" max="2"/>
    <col width="30" customWidth="1" min="3" max="3"/>
    <col width="115.44140625" customWidth="1" min="4" max="4"/>
  </cols>
  <sheetData>
    <row r="1" ht="17.4" customHeight="1">
      <c r="A1" s="24" t="inlineStr">
        <is>
          <t>Equipo del proyecto y parámetros</t>
        </is>
      </c>
      <c r="B1" s="45" t="n"/>
      <c r="C1" s="45" t="n"/>
      <c r="D1" s="45" t="n"/>
    </row>
    <row r="2">
      <c r="A2" s="45" t="n"/>
      <c r="B2" s="45" t="n"/>
      <c r="C2" s="45" t="n"/>
      <c r="D2" s="45" t="n"/>
    </row>
    <row r="3">
      <c r="A3" s="45" t="n"/>
      <c r="B3" s="45" t="n"/>
      <c r="C3" s="45" t="n"/>
      <c r="D3" s="45" t="n"/>
    </row>
    <row r="4">
      <c r="A4" s="25" t="inlineStr">
        <is>
          <t>Clave</t>
        </is>
      </c>
      <c r="B4" s="25" t="inlineStr">
        <is>
          <t>Integrante</t>
        </is>
      </c>
      <c r="C4" s="25" t="inlineStr">
        <is>
          <t>Rol en Scrum</t>
        </is>
      </c>
      <c r="D4" s="25" t="inlineStr">
        <is>
          <t>Responsabilidades principales</t>
        </is>
      </c>
    </row>
    <row r="5">
      <c r="A5" s="26" t="inlineStr">
        <is>
          <t>P1</t>
        </is>
      </c>
      <c r="B5" s="27" t="inlineStr">
        <is>
          <t>Gunther Nettel Rosario</t>
        </is>
      </c>
      <c r="C5" s="27" t="inlineStr">
        <is>
          <t>Scrum Master - Desarrollador</t>
        </is>
      </c>
      <c r="D5" s="28" t="inlineStr">
        <is>
          <t>Arquitectura (main.py), plano cartesiano Matplotlib, recta vertical y punto único, repositorio, pruebas automatizadas</t>
        </is>
      </c>
    </row>
    <row r="6">
      <c r="A6" s="29" t="inlineStr">
        <is>
          <t>P2</t>
        </is>
      </c>
      <c r="B6" s="27" t="inlineStr">
        <is>
          <t>Alberto Rasgado</t>
        </is>
      </c>
      <c r="C6" s="27" t="inlineStr">
        <is>
          <t>Desarrollador</t>
        </is>
      </c>
      <c r="D6" s="28" t="inlineStr">
        <is>
          <t>Lógica matemática de la recta, trayectoria, tabla CTkTable, clasificación de casos (4 positivos, 4 negativos, 3 especiales), rediseño visual</t>
        </is>
      </c>
    </row>
    <row r="7">
      <c r="A7" s="30" t="inlineStr">
        <is>
          <t>P3</t>
        </is>
      </c>
      <c r="B7" s="27" t="inlineStr">
        <is>
          <t>Ulises Chauk Arias Santiz</t>
        </is>
      </c>
      <c r="C7" s="27" t="inlineStr">
        <is>
          <t>Desarrollador</t>
        </is>
      </c>
      <c r="D7" s="28" t="inlineStr">
        <is>
          <t>Navegación, iconos vectoriales, formulario, tarjetas analíticas, franja de caso detectado, temas, documentación</t>
        </is>
      </c>
    </row>
    <row r="8">
      <c r="A8" s="31" t="inlineStr">
        <is>
          <t>EQ</t>
        </is>
      </c>
      <c r="B8" s="28" t="inlineStr">
        <is>
          <t>Todo el equipo</t>
        </is>
      </c>
      <c r="C8" s="28" t="inlineStr">
        <is>
          <t>—</t>
        </is>
      </c>
      <c r="D8" s="28" t="inlineStr">
        <is>
          <t>Ceremonias Scrum (planning, review, retro) y entrega</t>
        </is>
      </c>
    </row>
    <row r="9">
      <c r="A9" s="45" t="n"/>
      <c r="B9" s="45" t="n"/>
      <c r="C9" s="45" t="n"/>
      <c r="D9" s="45" t="n"/>
    </row>
    <row r="10">
      <c r="A10" s="45" t="n"/>
      <c r="B10" s="45" t="n"/>
      <c r="C10" s="45" t="n"/>
      <c r="D10" s="45" t="n"/>
    </row>
    <row r="11" ht="15.6" customHeight="1">
      <c r="A11" s="32" t="inlineStr">
        <is>
          <t>Parámetros del proyecto</t>
        </is>
      </c>
      <c r="B11" s="45" t="n"/>
      <c r="C11" s="45" t="n"/>
      <c r="D11" s="45" t="n"/>
    </row>
    <row r="12">
      <c r="A12" s="7" t="inlineStr">
        <is>
          <t>Fecha de inicio</t>
        </is>
      </c>
      <c r="B12" s="33" t="n">
        <v>46251</v>
      </c>
      <c r="C12" s="45" t="n"/>
      <c r="D12" s="45" t="n"/>
    </row>
    <row r="13">
      <c r="A13" s="7" t="inlineStr">
        <is>
          <t>Fecha de fin</t>
        </is>
      </c>
      <c r="B13" s="33" t="n">
        <v>46319</v>
      </c>
      <c r="C13" s="45" t="n"/>
      <c r="D13" s="45" t="n"/>
    </row>
    <row r="14">
      <c r="A14" s="7" t="inlineStr">
        <is>
          <t>Metodología</t>
        </is>
      </c>
      <c r="B14" s="45" t="inlineStr">
        <is>
          <t>Scrum - sprints de 1 semana (lun–vie)</t>
        </is>
      </c>
      <c r="C14" s="45" t="n"/>
      <c r="D14" s="45" t="n"/>
    </row>
    <row r="15">
      <c r="C15" s="45" t="n"/>
      <c r="D15" s="45" t="n"/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10" defaultColWidth="8.88671875" defaultRowHeight="14.4"/>
  <cols>
    <col width="26" customWidth="1" min="1" max="1"/>
    <col width="30" customWidth="1" min="2" max="2"/>
    <col width="14" customWidth="1" min="3" max="6"/>
  </cols>
  <sheetData>
    <row r="1" ht="17.4" customHeight="1">
      <c r="A1" s="24" t="inlineStr">
        <is>
          <t>Distribución de la carga de trabajo</t>
        </is>
      </c>
      <c r="B1" s="45" t="n"/>
      <c r="C1" s="45" t="n"/>
      <c r="D1" s="45" t="n"/>
      <c r="E1" s="45" t="n"/>
      <c r="F1" s="45" t="n"/>
    </row>
    <row r="2">
      <c r="A2" s="45" t="n"/>
      <c r="B2" s="45" t="n"/>
      <c r="C2" s="45" t="n"/>
      <c r="D2" s="45" t="n"/>
      <c r="E2" s="45" t="n"/>
      <c r="F2" s="45" t="n"/>
    </row>
    <row r="3">
      <c r="A3" s="45" t="n"/>
      <c r="B3" s="45" t="n"/>
      <c r="C3" s="45" t="n"/>
      <c r="D3" s="45" t="n"/>
      <c r="E3" s="45" t="n"/>
      <c r="F3" s="45" t="n"/>
    </row>
    <row r="4" ht="30" customHeight="1">
      <c r="A4" s="17" t="inlineStr">
        <is>
          <t>Integrante</t>
        </is>
      </c>
      <c r="B4" s="17" t="inlineStr">
        <is>
          <t>Rol</t>
        </is>
      </c>
      <c r="C4" s="17" t="inlineStr">
        <is>
          <t>Tareas asignadas</t>
        </is>
      </c>
      <c r="D4" s="17" t="inlineStr">
        <is>
          <t>Días en tareas</t>
        </is>
      </c>
      <c r="E4" s="17" t="inlineStr">
        <is>
          <t>% de la carga</t>
        </is>
      </c>
      <c r="F4" s="17" t="inlineStr">
        <is>
          <t>Reuniones de equipo</t>
        </is>
      </c>
    </row>
    <row r="5">
      <c r="A5" s="34">
        <f>Equipo!B5</f>
        <v/>
      </c>
      <c r="B5" s="35">
        <f>Equipo!C5</f>
        <v/>
      </c>
      <c r="C5" s="36">
        <f>COUNTIF(Gantt!$C$9:$C$72,A5)</f>
        <v/>
      </c>
      <c r="D5" s="36">
        <f>SUMPRODUCT((Gantt!$C$9:$C$72=A5)*(Gantt!$E$9:$E$72-Gantt!$D$9:$D$72+1))-COUNTIFS(Gantt!$C$9:$C$72,A5,Gantt!$D$9:$D$72,"&lt;="&amp;DiaSinTrabajo,Gantt!$E$9:$E$72,"&gt;="&amp;DiaSinTrabajo)</f>
        <v/>
      </c>
      <c r="E5" s="37">
        <f>IF(SUM($D$5:$D$7)=0,0,D5/SUM($D$5:$D$7))</f>
        <v/>
      </c>
      <c r="F5" s="36">
        <f>COUNTIF(Gantt!$C$9:$C$72,Equipo!$B$8)</f>
        <v/>
      </c>
    </row>
    <row r="6">
      <c r="A6" s="38">
        <f>Equipo!B6</f>
        <v/>
      </c>
      <c r="B6" s="35">
        <f>Equipo!C6</f>
        <v/>
      </c>
      <c r="C6" s="36">
        <f>COUNTIF(Gantt!$C$9:$C$72,A6)</f>
        <v/>
      </c>
      <c r="D6" s="36">
        <f>SUMPRODUCT((Gantt!$C$9:$C$72=A6)*(Gantt!$E$9:$E$72-Gantt!$D$9:$D$72+1))-COUNTIFS(Gantt!$C$9:$C$72,A6,Gantt!$D$9:$D$72,"&lt;="&amp;DiaSinTrabajo,Gantt!$E$9:$E$72,"&gt;="&amp;DiaSinTrabajo)</f>
        <v/>
      </c>
      <c r="E6" s="37">
        <f>IF(SUM($D$5:$D$7)=0,0,D6/SUM($D$5:$D$7))</f>
        <v/>
      </c>
      <c r="F6" s="36">
        <f>COUNTIF(Gantt!$C$9:$C$72,Equipo!$B$8)</f>
        <v/>
      </c>
    </row>
    <row r="7">
      <c r="A7" s="39">
        <f>Equipo!B7</f>
        <v/>
      </c>
      <c r="B7" s="35">
        <f>Equipo!C7</f>
        <v/>
      </c>
      <c r="C7" s="36">
        <f>COUNTIF(Gantt!$C$9:$C$72,A7)</f>
        <v/>
      </c>
      <c r="D7" s="36">
        <f>SUMPRODUCT((Gantt!$C$9:$C$72=A7)*(Gantt!$E$9:$E$72-Gantt!$D$9:$D$72+1))-COUNTIFS(Gantt!$C$9:$C$72,A7,Gantt!$D$9:$D$72,"&lt;="&amp;DiaSinTrabajo,Gantt!$E$9:$E$72,"&gt;="&amp;DiaSinTrabajo)</f>
        <v/>
      </c>
      <c r="E7" s="37">
        <f>IF(SUM($D$5:$D$7)=0,0,D7/SUM($D$5:$D$7))</f>
        <v/>
      </c>
      <c r="F7" s="36">
        <f>COUNTIF(Gantt!$C$9:$C$72,Equipo!$B$8)</f>
        <v/>
      </c>
    </row>
    <row r="8">
      <c r="A8" s="40" t="inlineStr">
        <is>
          <t>Total</t>
        </is>
      </c>
      <c r="B8" s="19" t="n"/>
      <c r="C8" s="41">
        <f>SUM(C5:C7)</f>
        <v/>
      </c>
      <c r="D8" s="41">
        <f>SUM(D5:D7)</f>
        <v/>
      </c>
      <c r="E8" s="42">
        <f>SUM(E5:E7)</f>
        <v/>
      </c>
      <c r="F8" s="41">
        <f>F5</f>
        <v/>
      </c>
    </row>
    <row r="9">
      <c r="A9" s="45" t="n"/>
      <c r="B9" s="45" t="n"/>
      <c r="C9" s="45" t="n"/>
      <c r="D9" s="45" t="n"/>
      <c r="E9" s="45" t="n"/>
      <c r="F9" s="45" t="n"/>
    </row>
    <row r="10">
      <c r="A10" s="45" t="n"/>
      <c r="B10" s="45" t="n"/>
      <c r="C10" s="45" t="n"/>
      <c r="D10" s="45" t="n"/>
      <c r="E10" s="45" t="n"/>
      <c r="F10" s="45" t="n"/>
    </row>
    <row r="11" ht="15.6" customHeight="1">
      <c r="A11" s="32" t="inlineStr">
        <is>
          <t>Días en tareas por sprint</t>
        </is>
      </c>
      <c r="B11" s="45" t="n"/>
      <c r="C11" s="45" t="n"/>
      <c r="D11" s="45" t="n"/>
      <c r="E11" s="45" t="n"/>
      <c r="F11" s="45" t="n"/>
    </row>
    <row r="12" ht="30" customHeight="1">
      <c r="A12" s="43" t="inlineStr">
        <is>
          <t>Sprint</t>
        </is>
      </c>
      <c r="B12" s="43">
        <f>Equipo!B5</f>
        <v/>
      </c>
      <c r="C12" s="43">
        <f>Equipo!B6</f>
        <v/>
      </c>
      <c r="D12" s="43">
        <f>Equipo!B7</f>
        <v/>
      </c>
      <c r="E12" s="43" t="inlineStr">
        <is>
          <t>Total sprint</t>
        </is>
      </c>
      <c r="F12" s="45" t="n"/>
    </row>
    <row r="13">
      <c r="A13" s="40" t="inlineStr">
        <is>
          <t>Sprint 0</t>
        </is>
      </c>
      <c r="B13" s="36">
        <f>SUMPRODUCT((Gantt!$A$9:$A$72=$A13)*(Gantt!$C$9:$C$72=B$12)*(Gantt!$E$9:$E$72-Gantt!$D$9:$D$72+1))-COUNTIFS(Gantt!$A$9:$A$72,$A13,Gantt!$C$9:$C$72,B$12,Gantt!$D$9:$D$72,"&lt;="&amp;DiaSinTrabajo,Gantt!$E$9:$E$72,"&gt;="&amp;DiaSinTrabajo)</f>
        <v/>
      </c>
      <c r="C13" s="36">
        <f>SUMPRODUCT((Gantt!$A$9:$A$72=$A13)*(Gantt!$C$9:$C$72=C$12)*(Gantt!$E$9:$E$72-Gantt!$D$9:$D$72+1))-COUNTIFS(Gantt!$A$9:$A$72,$A13,Gantt!$C$9:$C$72,C$12,Gantt!$D$9:$D$72,"&lt;="&amp;DiaSinTrabajo,Gantt!$E$9:$E$72,"&gt;="&amp;DiaSinTrabajo)</f>
        <v/>
      </c>
      <c r="D13" s="36">
        <f>SUMPRODUCT((Gantt!$A$9:$A$72=$A13)*(Gantt!$C$9:$C$72=D$12)*(Gantt!$E$9:$E$72-Gantt!$D$9:$D$72+1))-COUNTIFS(Gantt!$A$9:$A$72,$A13,Gantt!$C$9:$C$72,D$12,Gantt!$D$9:$D$72,"&lt;="&amp;DiaSinTrabajo,Gantt!$E$9:$E$72,"&gt;="&amp;DiaSinTrabajo)</f>
        <v/>
      </c>
      <c r="E13" s="41">
        <f>SUM(B13:D13)</f>
        <v/>
      </c>
      <c r="F13" s="45" t="n"/>
    </row>
    <row r="14">
      <c r="A14" s="40" t="inlineStr">
        <is>
          <t>Sprint 1</t>
        </is>
      </c>
      <c r="B14" s="36">
        <f>SUMPRODUCT((Gantt!$A$9:$A$72=$A14)*(Gantt!$C$9:$C$72=B$12)*(Gantt!$E$9:$E$72-Gantt!$D$9:$D$72+1))-COUNTIFS(Gantt!$A$9:$A$72,$A14,Gantt!$C$9:$C$72,B$12,Gantt!$D$9:$D$72,"&lt;="&amp;DiaSinTrabajo,Gantt!$E$9:$E$72,"&gt;="&amp;DiaSinTrabajo)</f>
        <v/>
      </c>
      <c r="C14" s="36">
        <f>SUMPRODUCT((Gantt!$A$9:$A$72=$A14)*(Gantt!$C$9:$C$72=C$12)*(Gantt!$E$9:$E$72-Gantt!$D$9:$D$72+1))-COUNTIFS(Gantt!$A$9:$A$72,$A14,Gantt!$C$9:$C$72,C$12,Gantt!$D$9:$D$72,"&lt;="&amp;DiaSinTrabajo,Gantt!$E$9:$E$72,"&gt;="&amp;DiaSinTrabajo)</f>
        <v/>
      </c>
      <c r="D14" s="36">
        <f>SUMPRODUCT((Gantt!$A$9:$A$72=$A14)*(Gantt!$C$9:$C$72=D$12)*(Gantt!$E$9:$E$72-Gantt!$D$9:$D$72+1))-COUNTIFS(Gantt!$A$9:$A$72,$A14,Gantt!$C$9:$C$72,D$12,Gantt!$D$9:$D$72,"&lt;="&amp;DiaSinTrabajo,Gantt!$E$9:$E$72,"&gt;="&amp;DiaSinTrabajo)</f>
        <v/>
      </c>
      <c r="E14" s="41">
        <f>SUM(B14:D14)</f>
        <v/>
      </c>
      <c r="F14" s="45" t="n"/>
    </row>
    <row r="15">
      <c r="A15" s="40" t="inlineStr">
        <is>
          <t>Sprint 2</t>
        </is>
      </c>
      <c r="B15" s="36">
        <f>SUMPRODUCT((Gantt!$A$9:$A$72=$A15)*(Gantt!$C$9:$C$72=B$12)*(Gantt!$E$9:$E$72-Gantt!$D$9:$D$72+1))-COUNTIFS(Gantt!$A$9:$A$72,$A15,Gantt!$C$9:$C$72,B$12,Gantt!$D$9:$D$72,"&lt;="&amp;DiaSinTrabajo,Gantt!$E$9:$E$72,"&gt;="&amp;DiaSinTrabajo)</f>
        <v/>
      </c>
      <c r="C15" s="36">
        <f>SUMPRODUCT((Gantt!$A$9:$A$72=$A15)*(Gantt!$C$9:$C$72=C$12)*(Gantt!$E$9:$E$72-Gantt!$D$9:$D$72+1))-COUNTIFS(Gantt!$A$9:$A$72,$A15,Gantt!$C$9:$C$72,C$12,Gantt!$D$9:$D$72,"&lt;="&amp;DiaSinTrabajo,Gantt!$E$9:$E$72,"&gt;="&amp;DiaSinTrabajo)</f>
        <v/>
      </c>
      <c r="D15" s="36">
        <f>SUMPRODUCT((Gantt!$A$9:$A$72=$A15)*(Gantt!$C$9:$C$72=D$12)*(Gantt!$E$9:$E$72-Gantt!$D$9:$D$72+1))-COUNTIFS(Gantt!$A$9:$A$72,$A15,Gantt!$C$9:$C$72,D$12,Gantt!$D$9:$D$72,"&lt;="&amp;DiaSinTrabajo,Gantt!$E$9:$E$72,"&gt;="&amp;DiaSinTrabajo)</f>
        <v/>
      </c>
      <c r="E15" s="41">
        <f>SUM(B15:D15)</f>
        <v/>
      </c>
      <c r="F15" s="45" t="n"/>
    </row>
    <row r="16">
      <c r="A16" s="40" t="inlineStr">
        <is>
          <t>Sprint 3</t>
        </is>
      </c>
      <c r="B16" s="36">
        <f>SUMPRODUCT((Gantt!$A$9:$A$72=$A16)*(Gantt!$C$9:$C$72=B$12)*(Gantt!$E$9:$E$72-Gantt!$D$9:$D$72+1))-COUNTIFS(Gantt!$A$9:$A$72,$A16,Gantt!$C$9:$C$72,B$12,Gantt!$D$9:$D$72,"&lt;="&amp;DiaSinTrabajo,Gantt!$E$9:$E$72,"&gt;="&amp;DiaSinTrabajo)</f>
        <v/>
      </c>
      <c r="C16" s="36">
        <f>SUMPRODUCT((Gantt!$A$9:$A$72=$A16)*(Gantt!$C$9:$C$72=C$12)*(Gantt!$E$9:$E$72-Gantt!$D$9:$D$72+1))-COUNTIFS(Gantt!$A$9:$A$72,$A16,Gantt!$C$9:$C$72,C$12,Gantt!$D$9:$D$72,"&lt;="&amp;DiaSinTrabajo,Gantt!$E$9:$E$72,"&gt;="&amp;DiaSinTrabajo)</f>
        <v/>
      </c>
      <c r="D16" s="36">
        <f>SUMPRODUCT((Gantt!$A$9:$A$72=$A16)*(Gantt!$C$9:$C$72=D$12)*(Gantt!$E$9:$E$72-Gantt!$D$9:$D$72+1))-COUNTIFS(Gantt!$A$9:$A$72,$A16,Gantt!$C$9:$C$72,D$12,Gantt!$D$9:$D$72,"&lt;="&amp;DiaSinTrabajo,Gantt!$E$9:$E$72,"&gt;="&amp;DiaSinTrabajo)</f>
        <v/>
      </c>
      <c r="E16" s="41">
        <f>SUM(B16:D16)</f>
        <v/>
      </c>
      <c r="F16" s="45" t="n"/>
    </row>
    <row r="17">
      <c r="A17" s="40" t="inlineStr">
        <is>
          <t>Sprint 4</t>
        </is>
      </c>
      <c r="B17" s="36">
        <f>SUMPRODUCT((Gantt!$A$9:$A$72=$A17)*(Gantt!$C$9:$C$72=B$12)*(Gantt!$E$9:$E$72-Gantt!$D$9:$D$72+1))-COUNTIFS(Gantt!$A$9:$A$72,$A17,Gantt!$C$9:$C$72,B$12,Gantt!$D$9:$D$72,"&lt;="&amp;DiaSinTrabajo,Gantt!$E$9:$E$72,"&gt;="&amp;DiaSinTrabajo)</f>
        <v/>
      </c>
      <c r="C17" s="36">
        <f>SUMPRODUCT((Gantt!$A$9:$A$72=$A17)*(Gantt!$C$9:$C$72=C$12)*(Gantt!$E$9:$E$72-Gantt!$D$9:$D$72+1))-COUNTIFS(Gantt!$A$9:$A$72,$A17,Gantt!$C$9:$C$72,C$12,Gantt!$D$9:$D$72,"&lt;="&amp;DiaSinTrabajo,Gantt!$E$9:$E$72,"&gt;="&amp;DiaSinTrabajo)</f>
        <v/>
      </c>
      <c r="D17" s="36">
        <f>SUMPRODUCT((Gantt!$A$9:$A$72=$A17)*(Gantt!$C$9:$C$72=D$12)*(Gantt!$E$9:$E$72-Gantt!$D$9:$D$72+1))-COUNTIFS(Gantt!$A$9:$A$72,$A17,Gantt!$C$9:$C$72,D$12,Gantt!$D$9:$D$72,"&lt;="&amp;DiaSinTrabajo,Gantt!$E$9:$E$72,"&gt;="&amp;DiaSinTrabajo)</f>
        <v/>
      </c>
      <c r="E17" s="41">
        <f>SUM(B17:D17)</f>
        <v/>
      </c>
      <c r="F17" s="45" t="n"/>
    </row>
    <row r="18">
      <c r="A18" s="40" t="inlineStr">
        <is>
          <t>Sprint 5</t>
        </is>
      </c>
      <c r="B18" s="36">
        <f>SUMPRODUCT((Gantt!$A$9:$A$72=$A18)*(Gantt!$C$9:$C$72=B$12)*(Gantt!$E$9:$E$72-Gantt!$D$9:$D$72+1))-COUNTIFS(Gantt!$A$9:$A$72,$A18,Gantt!$C$9:$C$72,B$12,Gantt!$D$9:$D$72,"&lt;="&amp;DiaSinTrabajo,Gantt!$E$9:$E$72,"&gt;="&amp;DiaSinTrabajo)</f>
        <v/>
      </c>
      <c r="C18" s="36">
        <f>SUMPRODUCT((Gantt!$A$9:$A$72=$A18)*(Gantt!$C$9:$C$72=C$12)*(Gantt!$E$9:$E$72-Gantt!$D$9:$D$72+1))-COUNTIFS(Gantt!$A$9:$A$72,$A18,Gantt!$C$9:$C$72,C$12,Gantt!$D$9:$D$72,"&lt;="&amp;DiaSinTrabajo,Gantt!$E$9:$E$72,"&gt;="&amp;DiaSinTrabajo)</f>
        <v/>
      </c>
      <c r="D18" s="36">
        <f>SUMPRODUCT((Gantt!$A$9:$A$72=$A18)*(Gantt!$C$9:$C$72=D$12)*(Gantt!$E$9:$E$72-Gantt!$D$9:$D$72+1))-COUNTIFS(Gantt!$A$9:$A$72,$A18,Gantt!$C$9:$C$72,D$12,Gantt!$D$9:$D$72,"&lt;="&amp;DiaSinTrabajo,Gantt!$E$9:$E$72,"&gt;="&amp;DiaSinTrabajo)</f>
        <v/>
      </c>
      <c r="E18" s="41">
        <f>SUM(B18:D18)</f>
        <v/>
      </c>
      <c r="F18" s="45" t="n"/>
    </row>
    <row r="19">
      <c r="A19" s="40" t="inlineStr">
        <is>
          <t>Sprint 6</t>
        </is>
      </c>
      <c r="B19" s="36">
        <f>SUMPRODUCT((Gantt!$A$9:$A$72=$A19)*(Gantt!$C$9:$C$72=B$12)*(Gantt!$E$9:$E$72-Gantt!$D$9:$D$72+1))-COUNTIFS(Gantt!$A$9:$A$72,$A19,Gantt!$C$9:$C$72,B$12,Gantt!$D$9:$D$72,"&lt;="&amp;DiaSinTrabajo,Gantt!$E$9:$E$72,"&gt;="&amp;DiaSinTrabajo)</f>
        <v/>
      </c>
      <c r="C19" s="36">
        <f>SUMPRODUCT((Gantt!$A$9:$A$72=$A19)*(Gantt!$C$9:$C$72=C$12)*(Gantt!$E$9:$E$72-Gantt!$D$9:$D$72+1))-COUNTIFS(Gantt!$A$9:$A$72,$A19,Gantt!$C$9:$C$72,C$12,Gantt!$D$9:$D$72,"&lt;="&amp;DiaSinTrabajo,Gantt!$E$9:$E$72,"&gt;="&amp;DiaSinTrabajo)</f>
        <v/>
      </c>
      <c r="D19" s="36">
        <f>SUMPRODUCT((Gantt!$A$9:$A$72=$A19)*(Gantt!$C$9:$C$72=D$12)*(Gantt!$E$9:$E$72-Gantt!$D$9:$D$72+1))-COUNTIFS(Gantt!$A$9:$A$72,$A19,Gantt!$C$9:$C$72,D$12,Gantt!$D$9:$D$72,"&lt;="&amp;DiaSinTrabajo,Gantt!$E$9:$E$72,"&gt;="&amp;DiaSinTrabajo)</f>
        <v/>
      </c>
      <c r="E19" s="41">
        <f>SUM(B19:D19)</f>
        <v/>
      </c>
    </row>
    <row r="20">
      <c r="A20" s="40" t="inlineStr">
        <is>
          <t>Sprint 7</t>
        </is>
      </c>
      <c r="B20" s="36">
        <f>SUMPRODUCT((Gantt!$A$9:$A$72=$A20)*(Gantt!$C$9:$C$72=B$12)*(Gantt!$E$9:$E$72-Gantt!$D$9:$D$72+1))-COUNTIFS(Gantt!$A$9:$A$72,$A20,Gantt!$C$9:$C$72,B$12,Gantt!$D$9:$D$72,"&lt;="&amp;DiaSinTrabajo,Gantt!$E$9:$E$72,"&gt;="&amp;DiaSinTrabajo)</f>
        <v/>
      </c>
      <c r="C20" s="36">
        <f>SUMPRODUCT((Gantt!$A$9:$A$72=$A20)*(Gantt!$C$9:$C$72=C$12)*(Gantt!$E$9:$E$72-Gantt!$D$9:$D$72+1))-COUNTIFS(Gantt!$A$9:$A$72,$A20,Gantt!$C$9:$C$72,C$12,Gantt!$D$9:$D$72,"&lt;="&amp;DiaSinTrabajo,Gantt!$E$9:$E$72,"&gt;="&amp;DiaSinTrabajo)</f>
        <v/>
      </c>
      <c r="D20" s="36">
        <f>SUMPRODUCT((Gantt!$A$9:$A$72=$A20)*(Gantt!$C$9:$C$72=D$12)*(Gantt!$E$9:$E$72-Gantt!$D$9:$D$72+1))-COUNTIFS(Gantt!$A$9:$A$72,$A20,Gantt!$C$9:$C$72,D$12,Gantt!$D$9:$D$72,"&lt;="&amp;DiaSinTrabajo,Gantt!$E$9:$E$72,"&gt;="&amp;DiaSinTrabajo)</f>
        <v/>
      </c>
      <c r="E20" s="41">
        <f>SUM(B20:D20)</f>
        <v/>
      </c>
    </row>
    <row r="21">
      <c r="A21" s="40" t="inlineStr">
        <is>
          <t>Sprint 8</t>
        </is>
      </c>
      <c r="B21" s="36">
        <f>SUMPRODUCT((Gantt!$A$9:$A$72=$A21)*(Gantt!$C$9:$C$72=B$12)*(Gantt!$E$9:$E$72-Gantt!$D$9:$D$72+1))-COUNTIFS(Gantt!$A$9:$A$72,$A21,Gantt!$C$9:$C$72,B$12,Gantt!$D$9:$D$72,"&lt;="&amp;DiaSinTrabajo,Gantt!$E$9:$E$72,"&gt;="&amp;DiaSinTrabajo)</f>
        <v/>
      </c>
      <c r="C21" s="36">
        <f>SUMPRODUCT((Gantt!$A$9:$A$72=$A21)*(Gantt!$C$9:$C$72=C$12)*(Gantt!$E$9:$E$72-Gantt!$D$9:$D$72+1))-COUNTIFS(Gantt!$A$9:$A$72,$A21,Gantt!$C$9:$C$72,C$12,Gantt!$D$9:$D$72,"&lt;="&amp;DiaSinTrabajo,Gantt!$E$9:$E$72,"&gt;="&amp;DiaSinTrabajo)</f>
        <v/>
      </c>
      <c r="D21" s="36">
        <f>SUMPRODUCT((Gantt!$A$9:$A$72=$A21)*(Gantt!$C$9:$C$72=D$12)*(Gantt!$E$9:$E$72-Gantt!$D$9:$D$72+1))-COUNTIFS(Gantt!$A$9:$A$72,$A21,Gantt!$C$9:$C$72,D$12,Gantt!$D$9:$D$72,"&lt;="&amp;DiaSinTrabajo,Gantt!$E$9:$E$72,"&gt;="&amp;DiaSinTrabajo)</f>
        <v/>
      </c>
      <c r="E21" s="41">
        <f>SUM(B21:D21)</f>
        <v/>
      </c>
    </row>
    <row r="22">
      <c r="A22" s="40" t="inlineStr">
        <is>
          <t>Total</t>
        </is>
      </c>
      <c r="B22" s="41">
        <f>SUM(B13:B21)</f>
        <v/>
      </c>
      <c r="C22" s="41">
        <f>SUM(C13:C21)</f>
        <v/>
      </c>
      <c r="D22" s="41">
        <f>SUM(D13:D21)</f>
        <v/>
      </c>
      <c r="E22" s="41">
        <f>SUM(E13:E21)</f>
        <v/>
      </c>
    </row>
  </sheetData>
  <pageMargins left="0.75" right="0.75" top="1" bottom="1" header="0.5" footer="0.5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2026-09-26T17:36:12Z</dcterms:created>
  <dcterms:modified xsi:type="dcterms:W3CDTF">2026-10-24T19:26:05Z</dcterms:modified>
  <cp:lastModifiedBy>Gunther Nettel Rosario</cp:lastModifiedBy>
</cp:coreProperties>
</file>