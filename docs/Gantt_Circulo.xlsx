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ette\OneDrive\Documentos\Escuela\8vo_semestre\Graficación\code\docs\"/>
    </mc:Choice>
  </mc:AlternateContent>
  <xr:revisionPtr revIDLastSave="0" documentId="13_ncr:1_{48143376-9212-4388-B5BC-AA4888884C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antt" sheetId="1" r:id="rId1"/>
    <sheet name="Equipo" sheetId="2" r:id="rId2"/>
    <sheet name="Carga de trabajo" sheetId="3" r:id="rId3"/>
  </sheets>
  <definedNames>
    <definedName name="DiaSinTrabajo">46281</definedName>
    <definedName name="_xlnm.Print_Titles" localSheetId="0">Gantt!$5:$8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3" l="1"/>
  <c r="C14" i="3"/>
  <c r="B14" i="3"/>
  <c r="E14" i="3" s="1"/>
  <c r="D13" i="3"/>
  <c r="D15" i="3" s="1"/>
  <c r="C13" i="3"/>
  <c r="C15" i="3" s="1"/>
  <c r="B13" i="3"/>
  <c r="B15" i="3" s="1"/>
  <c r="D12" i="3"/>
  <c r="C12" i="3"/>
  <c r="B12" i="3"/>
  <c r="F7" i="3"/>
  <c r="D7" i="3"/>
  <c r="B7" i="3"/>
  <c r="A7" i="3"/>
  <c r="C7" i="3" s="1"/>
  <c r="F6" i="3"/>
  <c r="D6" i="3"/>
  <c r="B6" i="3"/>
  <c r="A6" i="3"/>
  <c r="C6" i="3" s="1"/>
  <c r="F5" i="3"/>
  <c r="F8" i="3" s="1"/>
  <c r="D5" i="3"/>
  <c r="E5" i="3" s="1"/>
  <c r="B5" i="3"/>
  <c r="A5" i="3"/>
  <c r="C5" i="3" s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H8" i="1"/>
  <c r="H7" i="1" s="1"/>
  <c r="B7" i="1"/>
  <c r="B6" i="1"/>
  <c r="B5" i="1"/>
  <c r="B4" i="1"/>
  <c r="D3" i="1"/>
  <c r="B3" i="1"/>
  <c r="C8" i="3" l="1"/>
  <c r="E6" i="3"/>
  <c r="E8" i="3" s="1"/>
  <c r="E7" i="3"/>
  <c r="E13" i="3"/>
  <c r="E15" i="3" s="1"/>
  <c r="I8" i="1"/>
  <c r="D8" i="3"/>
  <c r="J8" i="1" l="1"/>
  <c r="I7" i="1"/>
  <c r="K8" i="1" l="1"/>
  <c r="J7" i="1"/>
  <c r="K7" i="1" l="1"/>
  <c r="L8" i="1"/>
  <c r="L7" i="1" l="1"/>
  <c r="M8" i="1"/>
  <c r="N8" i="1" l="1"/>
  <c r="M7" i="1"/>
  <c r="N7" i="1" l="1"/>
  <c r="O8" i="1"/>
  <c r="O7" i="1" l="1"/>
  <c r="P8" i="1"/>
  <c r="P7" i="1" l="1"/>
  <c r="Q8" i="1"/>
  <c r="Q7" i="1" l="1"/>
  <c r="R8" i="1"/>
  <c r="S8" i="1" l="1"/>
  <c r="R7" i="1"/>
  <c r="T8" i="1" l="1"/>
  <c r="T7" i="1" s="1"/>
  <c r="S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Gunther Nettel Rosario</author>
  </authors>
  <commentList>
    <comment ref="D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Días de inicio a fin de cada tarea, sin contar el 16/09/2026 (día vacío en el Gantt). Las tareas caen de lunes a viernes.</t>
        </r>
      </text>
    </comment>
  </commentList>
</comments>
</file>

<file path=xl/sharedStrings.xml><?xml version="1.0" encoding="utf-8"?>
<sst xmlns="http://schemas.openxmlformats.org/spreadsheetml/2006/main" count="108" uniqueCount="69">
  <si>
    <t>Diagrama de Gantt · Circunferencia y Círculo (punto medio de Bresenham)</t>
  </si>
  <si>
    <t>Metodología Scrum · 2 sprints semanales y entrega - Aplicación de escritorio en Python (CustomTkinter + Matplotlib)</t>
  </si>
  <si>
    <t>Inicio:</t>
  </si>
  <si>
    <t>Fin:</t>
  </si>
  <si>
    <t>Fin de semana</t>
  </si>
  <si>
    <t>Octubre 2026</t>
  </si>
  <si>
    <t>Sem 9 · Sprint 7</t>
  </si>
  <si>
    <t>Sprint</t>
  </si>
  <si>
    <t>Tarea</t>
  </si>
  <si>
    <t>Responsable</t>
  </si>
  <si>
    <t>Inicio</t>
  </si>
  <si>
    <t>Fin</t>
  </si>
  <si>
    <t>Estado</t>
  </si>
  <si>
    <t>Sprint 7</t>
  </si>
  <si>
    <t>Sprint Planning</t>
  </si>
  <si>
    <t>Completado</t>
  </si>
  <si>
    <t>Investigación: algoritmo de punto medio para la circunferencia</t>
  </si>
  <si>
    <t>Punto medio de Bresenham, simetría de 8 octantes y traslación del centro</t>
  </si>
  <si>
    <t>Wireframe de la página del círculo (pestañas, plantillas, traslación)</t>
  </si>
  <si>
    <t>Tarjetas del círculo: ecuaciones y métricas geométricas</t>
  </si>
  <si>
    <t>Pruebas de regresión de la recta y el triángulo</t>
  </si>
  <si>
    <t>Sprint Review y Retrospectiva</t>
  </si>
  <si>
    <t>Sprint 8</t>
  </si>
  <si>
    <t>Rellenos del círculo: DDA radial, cuerdas y círculos concéntricos</t>
  </si>
  <si>
    <t>Pestañas de tablas: iteraciones, octantes y líneas DDA paginadas</t>
  </si>
  <si>
    <t>Plantillas de prueba y botones de traslación del centro</t>
  </si>
  <si>
    <t>Reestructura para trabajo con IA (core/, ui/, pages/, AGENTS.md)</t>
  </si>
  <si>
    <t>Relleno del círculo con el programa de la línea y verificación contra el PDF</t>
  </si>
  <si>
    <t>Corroboración: C(100,100) R=51 · C(50,50) R=9 · C(200,150) R=91</t>
  </si>
  <si>
    <t>Diagramas de flujo y de Gantt por programa</t>
  </si>
  <si>
    <t>README y documentación final</t>
  </si>
  <si>
    <t>Sprint Review y Retrospectiva final</t>
  </si>
  <si>
    <t>Entrega</t>
  </si>
  <si>
    <t>Equipo del proyecto y parámetros</t>
  </si>
  <si>
    <t>Clave</t>
  </si>
  <si>
    <t>Integrante</t>
  </si>
  <si>
    <t>Rol en Scrum</t>
  </si>
  <si>
    <t>Responsabilidades principales</t>
  </si>
  <si>
    <t>P1</t>
  </si>
  <si>
    <t>Gunther Nettel Rosario</t>
  </si>
  <si>
    <t>Scrum Master - Desarrollador</t>
  </si>
  <si>
    <t>Arquitectura (main.py), plano cartesiano Matplotlib, recta vertical y punto único, repositorio, pruebas automatizadas</t>
  </si>
  <si>
    <t>P2</t>
  </si>
  <si>
    <t>Alberto Rasgado</t>
  </si>
  <si>
    <t>Desarrollador</t>
  </si>
  <si>
    <t>Lógica matemática de la recta, trayectoria, tabla CTkTable, clasificación de casos (4 positivos, 4 negativos, 3 especiales), rediseño visual</t>
  </si>
  <si>
    <t>P3</t>
  </si>
  <si>
    <t>Ulises Chauk Arias Santiz</t>
  </si>
  <si>
    <t>Navegación, iconos vectoriales, formulario, tarjetas analíticas, franja de caso detectado, temas, documentación</t>
  </si>
  <si>
    <t>EQ</t>
  </si>
  <si>
    <t>Todo el equipo</t>
  </si>
  <si>
    <t>—</t>
  </si>
  <si>
    <t>Ceremonias Scrum (planning, review, retro) y entrega</t>
  </si>
  <si>
    <t>Parámetros del proyecto</t>
  </si>
  <si>
    <t>Fecha de inicio</t>
  </si>
  <si>
    <t>Fecha de fin</t>
  </si>
  <si>
    <t>Metodología</t>
  </si>
  <si>
    <t>Scrum - sprints de 1 semana (lun–vie)</t>
  </si>
  <si>
    <t>Distribución de la carga de trabajo</t>
  </si>
  <si>
    <t>Rol</t>
  </si>
  <si>
    <t>Tareas asignadas</t>
  </si>
  <si>
    <t>Días en tareas</t>
  </si>
  <si>
    <t>% de la carga</t>
  </si>
  <si>
    <t>Reuniones de equipo</t>
  </si>
  <si>
    <t>Total</t>
  </si>
  <si>
    <t>Días en tareas por sprint</t>
  </si>
  <si>
    <t>Total sprint</t>
  </si>
  <si>
    <t>Entrega del programa</t>
  </si>
  <si>
    <t>Sem 10 · Sprint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</si>
</sst>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"/>
    <numFmt numFmtId="165" formatCode="dd/mm/yy"/>
    <numFmt numFmtId="166" formatCode="0.0%"/>
  </numFmts>
  <fonts count="17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FFFFFF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sz val="15"/>
      <color rgb="FF000000"/>
      <name val="Arial"/>
    </font>
    <font>
      <i/>
      <sz val="10"/>
      <color rgb="FF6B7280"/>
      <name val="Arial"/>
    </font>
    <font>
      <sz val="10"/>
      <color rgb="FF008000"/>
      <name val="Arial"/>
    </font>
    <font>
      <sz val="9"/>
      <color rgb="FF008000"/>
      <name val="Arial"/>
    </font>
    <font>
      <sz val="9"/>
      <color rgb="FF000000"/>
      <name val="Arial"/>
    </font>
    <font>
      <b/>
      <sz val="8"/>
      <color rgb="FFFFFFFF"/>
      <name val="Arial"/>
    </font>
    <font>
      <b/>
      <sz val="8"/>
      <color rgb="FF374151"/>
      <name val="Arial"/>
    </font>
    <font>
      <b/>
      <sz val="9"/>
      <color rgb="FFFFFFFF"/>
      <name val="Arial"/>
    </font>
    <font>
      <b/>
      <sz val="8"/>
      <color rgb="FF111827"/>
      <name val="Arial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2A78D6"/>
        <bgColor rgb="FF2A78D6"/>
      </patternFill>
    </fill>
    <fill>
      <patternFill patternType="solid">
        <fgColor rgb="FFEB6834"/>
        <bgColor rgb="FFEB6834"/>
      </patternFill>
    </fill>
    <fill>
      <patternFill patternType="solid">
        <fgColor rgb="FF1BAF7A"/>
        <bgColor rgb="FF1BAF7A"/>
      </patternFill>
    </fill>
    <fill>
      <patternFill patternType="solid">
        <fgColor rgb="FF7C8795"/>
        <bgColor rgb="FF7C8795"/>
      </patternFill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  <fill>
      <patternFill patternType="solid">
        <fgColor rgb="FF374151"/>
        <bgColor rgb="FF374151"/>
      </patternFill>
    </fill>
    <fill>
      <patternFill patternType="solid">
        <fgColor rgb="FFD1D5DB"/>
        <bgColor rgb="FFD1D5DB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/>
    <xf numFmtId="0" fontId="16" fillId="3" borderId="1" xfId="0" applyFont="1" applyFill="1" applyBorder="1"/>
    <xf numFmtId="0" fontId="10" fillId="0" borderId="0" xfId="0" applyFont="1"/>
    <xf numFmtId="0" fontId="11" fillId="0" borderId="0" xfId="0" applyFont="1"/>
    <xf numFmtId="0" fontId="16" fillId="4" borderId="1" xfId="0" applyFont="1" applyFill="1" applyBorder="1"/>
    <xf numFmtId="0" fontId="16" fillId="7" borderId="1" xfId="0" applyFont="1" applyFill="1" applyBorder="1"/>
    <xf numFmtId="0" fontId="16" fillId="5" borderId="1" xfId="0" applyFont="1" applyFill="1" applyBorder="1"/>
    <xf numFmtId="0" fontId="16" fillId="6" borderId="1" xfId="0" applyFont="1" applyFill="1" applyBorder="1"/>
    <xf numFmtId="0" fontId="13" fillId="8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4" fontId="12" fillId="2" borderId="2" xfId="0" applyNumberFormat="1" applyFont="1" applyFill="1" applyBorder="1" applyAlignment="1">
      <alignment horizontal="center" vertical="center"/>
    </xf>
    <xf numFmtId="0" fontId="16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165" fontId="3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4" fillId="2" borderId="0" xfId="0" applyFont="1" applyFill="1"/>
    <xf numFmtId="0" fontId="4" fillId="3" borderId="0" xfId="0" applyFont="1" applyFill="1"/>
    <xf numFmtId="0" fontId="3" fillId="0" borderId="0" xfId="0" applyFont="1"/>
    <xf numFmtId="0" fontId="2" fillId="0" borderId="0" xfId="0" applyFont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0" borderId="0" xfId="0" applyFont="1"/>
    <xf numFmtId="14" fontId="3" fillId="0" borderId="0" xfId="0" applyNumberFormat="1" applyFont="1"/>
    <xf numFmtId="0" fontId="4" fillId="3" borderId="2" xfId="0" applyFont="1" applyFill="1" applyBorder="1"/>
    <xf numFmtId="0" fontId="9" fillId="0" borderId="2" xfId="0" applyFont="1" applyBorder="1"/>
    <xf numFmtId="0" fontId="16" fillId="0" borderId="2" xfId="0" applyFont="1" applyBorder="1" applyAlignment="1">
      <alignment horizontal="center"/>
    </xf>
    <xf numFmtId="166" fontId="16" fillId="0" borderId="2" xfId="0" applyNumberFormat="1" applyFont="1" applyBorder="1" applyAlignment="1">
      <alignment horizontal="center"/>
    </xf>
    <xf numFmtId="0" fontId="4" fillId="4" borderId="2" xfId="0" applyFont="1" applyFill="1" applyBorder="1"/>
    <xf numFmtId="0" fontId="4" fillId="5" borderId="2" xfId="0" applyFont="1" applyFill="1" applyBorder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16" fillId="0" borderId="0" xfId="0" applyFont="1"/>
    <xf numFmtId="0" fontId="15" fillId="10" borderId="0" xfId="0" applyFont="1" applyFill="1" applyAlignment="1">
      <alignment horizontal="center"/>
    </xf>
    <xf numFmtId="0" fontId="0" fillId="0" borderId="0" xfId="0"/>
    <xf numFmtId="0" fontId="14" fillId="9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</cellXfs>
  <cellStyles count="1">
    <cellStyle name="Normal" xfId="0" builtinId="0"/>
  </cellStyles>
  <dxfs count="7">
    <dxf>
      <fill>
        <patternFill>
          <bgColor rgb="FFFFFFFF"/>
        </patternFill>
      </fill>
    </dxf>
    <dxf>
      <fill>
        <patternFill patternType="solid">
          <fgColor rgb="FF7C8795"/>
          <bgColor rgb="FF7C8795"/>
        </patternFill>
      </fill>
    </dxf>
    <dxf>
      <fill>
        <patternFill patternType="solid">
          <fgColor rgb="FF1BAF7A"/>
          <bgColor rgb="FF1BAF7A"/>
        </patternFill>
      </fill>
    </dxf>
    <dxf>
      <fill>
        <patternFill patternType="solid">
          <fgColor rgb="FFEB6834"/>
          <bgColor rgb="FFEB6834"/>
        </patternFill>
      </fill>
    </dxf>
    <dxf>
      <fill>
        <patternFill patternType="solid">
          <fgColor rgb="FF2A78D6"/>
          <bgColor rgb="FF2A78D6"/>
        </patternFill>
      </fill>
    </dxf>
    <dxf>
      <fill>
        <patternFill patternType="solid">
          <fgColor rgb="FFE5E7EB"/>
          <bgColor rgb="FFE5E7EB"/>
        </patternFill>
      </fill>
    </dxf>
    <dxf>
      <fill>
        <patternFill patternType="solid">
          <fgColor rgb="FFD1D5DB"/>
          <bgColor rgb="FFD1D5D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Días en tareas por sprint e integrante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'Carga de trabajo'!$B$12</c:f>
              <c:strCache>
                <c:ptCount val="1"/>
                <c:pt idx="0">
                  <c:v>Gunther Nettel Rosario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'Carga de trabajo'!$A$13:$A$14</c:f>
              <c:strCache>
                <c:ptCount val="2"/>
                <c:pt idx="0">
                  <c:v>Sprint 7</c:v>
                </c:pt>
                <c:pt idx="1">
                  <c:v>Sprint 8</c:v>
                </c:pt>
              </c:strCache>
            </c:strRef>
          </c:cat>
          <c:val>
            <c:numRef>
              <c:f>'Carga de trabajo'!$B$13:$B$14</c:f>
              <c:numCache>
                <c:formatCode>General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18-4B48-B385-C27F778C6FFE}"/>
            </c:ext>
          </c:extLst>
        </c:ser>
        <c:ser>
          <c:idx val="1"/>
          <c:order val="1"/>
          <c:tx>
            <c:strRef>
              <c:f>'Carga de trabajo'!$C$12</c:f>
              <c:strCache>
                <c:ptCount val="1"/>
                <c:pt idx="0">
                  <c:v>Alberto Rasgado</c:v>
                </c:pt>
              </c:strCache>
            </c:strRef>
          </c:tx>
          <c:spPr>
            <a:solidFill>
              <a:srgbClr val="EB6834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'Carga de trabajo'!$A$13:$A$14</c:f>
              <c:strCache>
                <c:ptCount val="2"/>
                <c:pt idx="0">
                  <c:v>Sprint 7</c:v>
                </c:pt>
                <c:pt idx="1">
                  <c:v>Sprint 8</c:v>
                </c:pt>
              </c:strCache>
            </c:strRef>
          </c:cat>
          <c:val>
            <c:numRef>
              <c:f>'Carga de trabajo'!$C$13:$C$14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918-4B48-B385-C27F778C6FFE}"/>
            </c:ext>
          </c:extLst>
        </c:ser>
        <c:ser>
          <c:idx val="2"/>
          <c:order val="2"/>
          <c:tx>
            <c:strRef>
              <c:f>'Carga de trabajo'!$D$12</c:f>
              <c:strCache>
                <c:ptCount val="1"/>
                <c:pt idx="0">
                  <c:v>Ulises Chauk Arias Santiz</c:v>
                </c:pt>
              </c:strCache>
            </c:strRef>
          </c:tx>
          <c:spPr>
            <a:solidFill>
              <a:srgbClr val="1BAF7A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'Carga de trabajo'!$A$13:$A$14</c:f>
              <c:strCache>
                <c:ptCount val="2"/>
                <c:pt idx="0">
                  <c:v>Sprint 7</c:v>
                </c:pt>
                <c:pt idx="1">
                  <c:v>Sprint 8</c:v>
                </c:pt>
              </c:strCache>
            </c:strRef>
          </c:cat>
          <c:val>
            <c:numRef>
              <c:f>'Carga de trabajo'!$D$13:$D$14</c:f>
              <c:numCache>
                <c:formatCode>General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918-4B48-B385-C27F778C6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Días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2"/>
  <sheetViews>
    <sheetView showGridLines="0" tabSelected="1" workbookViewId="0">
      <pane xSplit="7" ySplit="8" topLeftCell="H9" activePane="bottomRight" state="frozen"/>
      <selection pane="topRight"/>
      <selection pane="bottomLeft" activeCell="A9" sqref="A9"/>
      <selection pane="bottomRight" activeCell="V23" sqref="V23"/>
    </sheetView>
  </sheetViews>
  <sheetFormatPr baseColWidth="10" defaultColWidth="8.88671875" defaultRowHeight="14.4" x14ac:dyDescent="0.3"/>
  <cols>
    <col min="1" max="1" width="11" customWidth="1"/>
    <col min="2" max="2" width="62" customWidth="1"/>
    <col min="3" max="3" width="24" customWidth="1"/>
    <col min="4" max="5" width="11" customWidth="1"/>
    <col min="6" max="6" width="12" customWidth="1"/>
    <col min="7" max="7" width="2" customWidth="1"/>
    <col min="8" max="20" width="3.33203125" customWidth="1"/>
  </cols>
  <sheetData>
    <row r="1" spans="1:20" ht="19.2" customHeight="1" x14ac:dyDescent="0.35">
      <c r="A1" s="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20" x14ac:dyDescent="0.3">
      <c r="A2" s="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</row>
    <row r="3" spans="1:20" x14ac:dyDescent="0.3">
      <c r="A3" s="3" t="s">
        <v>2</v>
      </c>
      <c r="B3" s="4">
        <f>Equipo!B12</f>
        <v>46307</v>
      </c>
      <c r="C3" s="5" t="s">
        <v>3</v>
      </c>
      <c r="D3" s="4">
        <f>Equipo!B13</f>
        <v>46319</v>
      </c>
      <c r="E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</row>
    <row r="4" spans="1:20" x14ac:dyDescent="0.3">
      <c r="A4" s="7"/>
      <c r="B4" s="8" t="str">
        <f>Equipo!B5</f>
        <v>Gunther Nettel Rosario</v>
      </c>
      <c r="C4" s="42"/>
      <c r="D4" s="11"/>
      <c r="E4" s="9" t="s">
        <v>4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20" x14ac:dyDescent="0.3">
      <c r="A5" s="10"/>
      <c r="B5" s="8" t="str">
        <f>Equipo!B6</f>
        <v>Alberto Rasgado</v>
      </c>
      <c r="C5" s="42"/>
      <c r="F5" s="42"/>
      <c r="G5" s="42"/>
      <c r="H5" s="45" t="s">
        <v>5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</row>
    <row r="6" spans="1:20" x14ac:dyDescent="0.3">
      <c r="A6" s="12"/>
      <c r="B6" s="8" t="str">
        <f>Equipo!B7</f>
        <v>Ulises Chauk Arias Santiz</v>
      </c>
      <c r="C6" s="42"/>
      <c r="F6" s="42"/>
      <c r="G6" s="42"/>
      <c r="H6" s="46" t="s">
        <v>6</v>
      </c>
      <c r="I6" s="44"/>
      <c r="J6" s="44"/>
      <c r="K6" s="44"/>
      <c r="L6" s="44"/>
      <c r="M6" s="44"/>
      <c r="N6" s="44"/>
      <c r="O6" s="43" t="s">
        <v>68</v>
      </c>
      <c r="P6" s="44"/>
      <c r="Q6" s="44"/>
      <c r="R6" s="44"/>
      <c r="S6" s="44"/>
      <c r="T6" s="44"/>
    </row>
    <row r="7" spans="1:20" x14ac:dyDescent="0.3">
      <c r="A7" s="13"/>
      <c r="B7" s="8" t="str">
        <f>Equipo!B8</f>
        <v>Todo el equipo</v>
      </c>
      <c r="C7" s="42"/>
      <c r="D7" s="42"/>
      <c r="E7" s="42"/>
      <c r="F7" s="42"/>
      <c r="G7" s="42"/>
      <c r="H7" s="14" t="str">
        <f t="shared" ref="H7:T7" si="0">MID("LMXJVSD",WEEKDAY(H8,2),1)</f>
        <v>L</v>
      </c>
      <c r="I7" s="14" t="str">
        <f t="shared" si="0"/>
        <v>M</v>
      </c>
      <c r="J7" s="14" t="str">
        <f t="shared" si="0"/>
        <v>X</v>
      </c>
      <c r="K7" s="14" t="str">
        <f t="shared" si="0"/>
        <v>J</v>
      </c>
      <c r="L7" s="14" t="str">
        <f t="shared" si="0"/>
        <v>V</v>
      </c>
      <c r="M7" s="14" t="str">
        <f t="shared" si="0"/>
        <v>S</v>
      </c>
      <c r="N7" s="14" t="str">
        <f t="shared" si="0"/>
        <v>D</v>
      </c>
      <c r="O7" s="14" t="str">
        <f t="shared" si="0"/>
        <v>L</v>
      </c>
      <c r="P7" s="14" t="str">
        <f t="shared" si="0"/>
        <v>M</v>
      </c>
      <c r="Q7" s="14" t="str">
        <f t="shared" si="0"/>
        <v>X</v>
      </c>
      <c r="R7" s="14" t="str">
        <f t="shared" si="0"/>
        <v>J</v>
      </c>
      <c r="S7" s="14" t="str">
        <f t="shared" si="0"/>
        <v>V</v>
      </c>
      <c r="T7" s="14" t="str">
        <f t="shared" si="0"/>
        <v>S</v>
      </c>
    </row>
    <row r="8" spans="1:20" ht="30" customHeight="1" x14ac:dyDescent="0.3">
      <c r="A8" s="15" t="s">
        <v>7</v>
      </c>
      <c r="B8" s="15" t="s">
        <v>8</v>
      </c>
      <c r="C8" s="15" t="s">
        <v>9</v>
      </c>
      <c r="D8" s="15" t="s">
        <v>10</v>
      </c>
      <c r="E8" s="15" t="s">
        <v>11</v>
      </c>
      <c r="F8" s="15" t="s">
        <v>12</v>
      </c>
      <c r="G8" s="42"/>
      <c r="H8" s="16">
        <f>Equipo!$B$12</f>
        <v>46307</v>
      </c>
      <c r="I8" s="16">
        <f t="shared" ref="I8:T8" si="1">H8+1</f>
        <v>46308</v>
      </c>
      <c r="J8" s="16">
        <f t="shared" si="1"/>
        <v>46309</v>
      </c>
      <c r="K8" s="16">
        <f t="shared" si="1"/>
        <v>46310</v>
      </c>
      <c r="L8" s="16">
        <f t="shared" si="1"/>
        <v>46311</v>
      </c>
      <c r="M8" s="16">
        <f t="shared" si="1"/>
        <v>46312</v>
      </c>
      <c r="N8" s="16">
        <f t="shared" si="1"/>
        <v>46313</v>
      </c>
      <c r="O8" s="16">
        <f t="shared" si="1"/>
        <v>46314</v>
      </c>
      <c r="P8" s="16">
        <f t="shared" si="1"/>
        <v>46315</v>
      </c>
      <c r="Q8" s="16">
        <f t="shared" si="1"/>
        <v>46316</v>
      </c>
      <c r="R8" s="16">
        <f t="shared" si="1"/>
        <v>46317</v>
      </c>
      <c r="S8" s="16">
        <f t="shared" si="1"/>
        <v>46318</v>
      </c>
      <c r="T8" s="16">
        <f t="shared" si="1"/>
        <v>46319</v>
      </c>
    </row>
    <row r="9" spans="1:20" ht="18" customHeight="1" x14ac:dyDescent="0.3">
      <c r="A9" s="18" t="s">
        <v>13</v>
      </c>
      <c r="B9" s="19" t="s">
        <v>14</v>
      </c>
      <c r="C9" s="20" t="str">
        <f>Equipo!$B$8</f>
        <v>Todo el equipo</v>
      </c>
      <c r="D9" s="21">
        <v>46307</v>
      </c>
      <c r="E9" s="21">
        <v>46307</v>
      </c>
      <c r="F9" s="18" t="s">
        <v>15</v>
      </c>
      <c r="G9" s="42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ht="18" customHeight="1" x14ac:dyDescent="0.3">
      <c r="A10" s="18" t="s">
        <v>13</v>
      </c>
      <c r="B10" s="19" t="s">
        <v>16</v>
      </c>
      <c r="C10" s="20" t="str">
        <f>Equipo!$B$6</f>
        <v>Alberto Rasgado</v>
      </c>
      <c r="D10" s="21">
        <v>46307</v>
      </c>
      <c r="E10" s="21">
        <v>46308</v>
      </c>
      <c r="F10" s="18" t="s">
        <v>15</v>
      </c>
      <c r="G10" s="42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1:20" ht="18" customHeight="1" x14ac:dyDescent="0.3">
      <c r="A11" s="18" t="s">
        <v>13</v>
      </c>
      <c r="B11" s="19" t="s">
        <v>17</v>
      </c>
      <c r="C11" s="20" t="str">
        <f>Equipo!$B$6</f>
        <v>Alberto Rasgado</v>
      </c>
      <c r="D11" s="21">
        <v>46309</v>
      </c>
      <c r="E11" s="21">
        <v>46311</v>
      </c>
      <c r="F11" s="18" t="s">
        <v>15</v>
      </c>
      <c r="G11" s="42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spans="1:20" ht="18" customHeight="1" x14ac:dyDescent="0.3">
      <c r="A12" s="18" t="s">
        <v>13</v>
      </c>
      <c r="B12" s="19" t="s">
        <v>18</v>
      </c>
      <c r="C12" s="20" t="str">
        <f>Equipo!$B$7</f>
        <v>Ulises Chauk Arias Santiz</v>
      </c>
      <c r="D12" s="21">
        <v>46308</v>
      </c>
      <c r="E12" s="21">
        <v>46309</v>
      </c>
      <c r="F12" s="18" t="s">
        <v>15</v>
      </c>
      <c r="G12" s="42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pans="1:20" ht="18" customHeight="1" x14ac:dyDescent="0.3">
      <c r="A13" s="18" t="s">
        <v>13</v>
      </c>
      <c r="B13" s="19" t="s">
        <v>19</v>
      </c>
      <c r="C13" s="20" t="str">
        <f>Equipo!$B$7</f>
        <v>Ulises Chauk Arias Santiz</v>
      </c>
      <c r="D13" s="21">
        <v>46310</v>
      </c>
      <c r="E13" s="21">
        <v>46311</v>
      </c>
      <c r="F13" s="18" t="s">
        <v>15</v>
      </c>
      <c r="G13" s="42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spans="1:20" ht="18" customHeight="1" x14ac:dyDescent="0.3">
      <c r="A14" s="18" t="s">
        <v>13</v>
      </c>
      <c r="B14" s="19" t="s">
        <v>20</v>
      </c>
      <c r="C14" s="20" t="str">
        <f>Equipo!$B$5</f>
        <v>Gunther Nettel Rosario</v>
      </c>
      <c r="D14" s="21">
        <v>46308</v>
      </c>
      <c r="E14" s="21">
        <v>46311</v>
      </c>
      <c r="F14" s="18" t="s">
        <v>15</v>
      </c>
      <c r="G14" s="42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0" ht="18" customHeight="1" x14ac:dyDescent="0.3">
      <c r="A15" s="18" t="s">
        <v>13</v>
      </c>
      <c r="B15" s="19" t="s">
        <v>21</v>
      </c>
      <c r="C15" s="20" t="str">
        <f>Equipo!$B$8</f>
        <v>Todo el equipo</v>
      </c>
      <c r="D15" s="21">
        <v>46311</v>
      </c>
      <c r="E15" s="21">
        <v>46311</v>
      </c>
      <c r="F15" s="18" t="s">
        <v>15</v>
      </c>
      <c r="G15" s="42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spans="1:20" ht="18" customHeight="1" x14ac:dyDescent="0.3">
      <c r="A16" s="18" t="s">
        <v>22</v>
      </c>
      <c r="B16" s="19" t="s">
        <v>14</v>
      </c>
      <c r="C16" s="20" t="str">
        <f>Equipo!$B$8</f>
        <v>Todo el equipo</v>
      </c>
      <c r="D16" s="21">
        <v>46314</v>
      </c>
      <c r="E16" s="21">
        <v>46314</v>
      </c>
      <c r="F16" s="18" t="s">
        <v>15</v>
      </c>
      <c r="G16" s="42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spans="1:20" ht="18" customHeight="1" x14ac:dyDescent="0.3">
      <c r="A17" s="18" t="s">
        <v>22</v>
      </c>
      <c r="B17" s="19" t="s">
        <v>23</v>
      </c>
      <c r="C17" s="20" t="str">
        <f>Equipo!$B$6</f>
        <v>Alberto Rasgado</v>
      </c>
      <c r="D17" s="21">
        <v>46314</v>
      </c>
      <c r="E17" s="21">
        <v>46316</v>
      </c>
      <c r="F17" s="18" t="s">
        <v>15</v>
      </c>
      <c r="G17" s="42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spans="1:20" ht="18" customHeight="1" x14ac:dyDescent="0.3">
      <c r="A18" s="18" t="s">
        <v>22</v>
      </c>
      <c r="B18" s="19" t="s">
        <v>24</v>
      </c>
      <c r="C18" s="20" t="str">
        <f>Equipo!$B$7</f>
        <v>Ulises Chauk Arias Santiz</v>
      </c>
      <c r="D18" s="21">
        <v>46314</v>
      </c>
      <c r="E18" s="21">
        <v>46315</v>
      </c>
      <c r="F18" s="18" t="s">
        <v>15</v>
      </c>
      <c r="G18" s="42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spans="1:20" ht="18" customHeight="1" x14ac:dyDescent="0.3">
      <c r="A19" s="18" t="s">
        <v>22</v>
      </c>
      <c r="B19" s="19" t="s">
        <v>25</v>
      </c>
      <c r="C19" s="20" t="str">
        <f>Equipo!$B$7</f>
        <v>Ulises Chauk Arias Santiz</v>
      </c>
      <c r="D19" s="21">
        <v>46316</v>
      </c>
      <c r="E19" s="21">
        <v>46316</v>
      </c>
      <c r="F19" s="18" t="s">
        <v>15</v>
      </c>
      <c r="G19" s="42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spans="1:20" ht="18" customHeight="1" x14ac:dyDescent="0.3">
      <c r="A20" s="18" t="s">
        <v>22</v>
      </c>
      <c r="B20" s="19" t="s">
        <v>26</v>
      </c>
      <c r="C20" s="20" t="str">
        <f>Equipo!$B$5</f>
        <v>Gunther Nettel Rosario</v>
      </c>
      <c r="D20" s="21">
        <v>46314</v>
      </c>
      <c r="E20" s="21">
        <v>46315</v>
      </c>
      <c r="F20" s="18" t="s">
        <v>15</v>
      </c>
      <c r="G20" s="42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1:20" ht="18" customHeight="1" x14ac:dyDescent="0.3">
      <c r="A21" s="18" t="s">
        <v>22</v>
      </c>
      <c r="B21" s="19" t="s">
        <v>27</v>
      </c>
      <c r="C21" s="20" t="str">
        <f>Equipo!$B$5</f>
        <v>Gunther Nettel Rosario</v>
      </c>
      <c r="D21" s="21">
        <v>46316</v>
      </c>
      <c r="E21" s="21">
        <v>46317</v>
      </c>
      <c r="F21" s="18" t="s">
        <v>15</v>
      </c>
      <c r="G21" s="42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1:20" ht="18" customHeight="1" x14ac:dyDescent="0.3">
      <c r="A22" s="18" t="s">
        <v>22</v>
      </c>
      <c r="B22" s="19" t="s">
        <v>28</v>
      </c>
      <c r="C22" s="20" t="str">
        <f>Equipo!$B$6</f>
        <v>Alberto Rasgado</v>
      </c>
      <c r="D22" s="21">
        <v>46317</v>
      </c>
      <c r="E22" s="21">
        <v>46318</v>
      </c>
      <c r="F22" s="18" t="s">
        <v>15</v>
      </c>
      <c r="G22" s="42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spans="1:20" ht="18" customHeight="1" x14ac:dyDescent="0.3">
      <c r="A23" s="18" t="s">
        <v>22</v>
      </c>
      <c r="B23" s="19" t="s">
        <v>29</v>
      </c>
      <c r="C23" s="20" t="str">
        <f>Equipo!$B$7</f>
        <v>Ulises Chauk Arias Santiz</v>
      </c>
      <c r="D23" s="21">
        <v>46317</v>
      </c>
      <c r="E23" s="21">
        <v>46318</v>
      </c>
      <c r="F23" s="18" t="s">
        <v>15</v>
      </c>
      <c r="G23" s="42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spans="1:20" ht="18" customHeight="1" x14ac:dyDescent="0.3">
      <c r="A24" s="18" t="s">
        <v>22</v>
      </c>
      <c r="B24" s="19" t="s">
        <v>30</v>
      </c>
      <c r="C24" s="20" t="str">
        <f>Equipo!$B$5</f>
        <v>Gunther Nettel Rosario</v>
      </c>
      <c r="D24" s="21">
        <v>46318</v>
      </c>
      <c r="E24" s="21">
        <v>46318</v>
      </c>
      <c r="F24" s="18" t="s">
        <v>15</v>
      </c>
      <c r="G24" s="42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1:20" ht="18" customHeight="1" x14ac:dyDescent="0.3">
      <c r="A25" s="18" t="s">
        <v>22</v>
      </c>
      <c r="B25" s="19" t="s">
        <v>31</v>
      </c>
      <c r="C25" s="20" t="str">
        <f>Equipo!$B$8</f>
        <v>Todo el equipo</v>
      </c>
      <c r="D25" s="21">
        <v>46318</v>
      </c>
      <c r="E25" s="21">
        <v>46318</v>
      </c>
      <c r="F25" s="18" t="s">
        <v>15</v>
      </c>
      <c r="G25" s="42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spans="1:20" ht="18" customHeight="1" x14ac:dyDescent="0.3">
      <c r="A26" s="18" t="s">
        <v>32</v>
      </c>
      <c r="B26" s="19" t="s">
        <v>67</v>
      </c>
      <c r="C26" s="20" t="str">
        <f>Equipo!$B$8</f>
        <v>Todo el equipo</v>
      </c>
      <c r="D26" s="21">
        <v>46318</v>
      </c>
      <c r="E26" s="21">
        <v>46318</v>
      </c>
      <c r="F26" s="18" t="s">
        <v>15</v>
      </c>
      <c r="G26" s="42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spans="1:20" ht="18" customHeight="1" x14ac:dyDescent="0.3"/>
    <row r="28" spans="1:20" ht="18" customHeight="1" x14ac:dyDescent="0.3"/>
    <row r="29" spans="1:20" ht="18" customHeight="1" x14ac:dyDescent="0.3"/>
    <row r="30" spans="1:20" ht="18" customHeight="1" x14ac:dyDescent="0.3"/>
    <row r="31" spans="1:20" ht="18" customHeight="1" x14ac:dyDescent="0.3"/>
    <row r="32" spans="1:20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</sheetData>
  <mergeCells count="3">
    <mergeCell ref="O6:T6"/>
    <mergeCell ref="H5:T5"/>
    <mergeCell ref="H6:N6"/>
  </mergeCells>
  <conditionalFormatting sqref="H7:T7">
    <cfRule type="expression" dxfId="6" priority="10">
      <formula>WEEKDAY(H$8,2)&gt;5</formula>
    </cfRule>
  </conditionalFormatting>
  <conditionalFormatting sqref="H9:T26">
    <cfRule type="expression" dxfId="5" priority="2" stopIfTrue="1">
      <formula>WEEKDAY(H$8,2)&gt;5</formula>
    </cfRule>
    <cfRule type="expression" dxfId="4" priority="5" stopIfTrue="1">
      <formula>AND($C9=$B$4,AND(H$8&gt;=$D9,H$8&lt;=$E9))</formula>
    </cfRule>
    <cfRule type="expression" dxfId="3" priority="6" stopIfTrue="1">
      <formula>AND($C9=$B$5,AND(H$8&gt;=$D9,H$8&lt;=$E9))</formula>
    </cfRule>
    <cfRule type="expression" dxfId="2" priority="7" stopIfTrue="1">
      <formula>AND($C9=$B$6,AND(H$8&gt;=$D9,H$8&lt;=$E9))</formula>
    </cfRule>
    <cfRule type="expression" dxfId="1" priority="8" stopIfTrue="1">
      <formula>AND($C9=$B$7,AND(H$8&gt;=$D9,H$8&lt;=$E9))</formula>
    </cfRule>
    <cfRule type="expression" dxfId="0" priority="1" stopIfTrue="1">
      <formula>H$8=DiaSinTrabajo</formula>
    </cfRule>
  </conditionalFormatting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Equipo!$B$5:$B$8</xm:f>
          </x14:formula1>
          <xm:sqref>C9:C26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5"/>
  <sheetViews>
    <sheetView workbookViewId="0"/>
  </sheetViews>
  <sheetFormatPr baseColWidth="10" defaultColWidth="8.88671875" defaultRowHeight="14.4" x14ac:dyDescent="0.3"/>
  <cols>
    <col min="1" max="1" width="16" customWidth="1"/>
    <col min="2" max="2" width="26" customWidth="1"/>
    <col min="3" max="3" width="30" customWidth="1"/>
    <col min="4" max="4" width="115.44140625" customWidth="1"/>
  </cols>
  <sheetData>
    <row r="1" spans="1:4" ht="17.399999999999999" customHeight="1" x14ac:dyDescent="0.3">
      <c r="A1" s="22" t="s">
        <v>33</v>
      </c>
      <c r="B1" s="42"/>
      <c r="C1" s="42"/>
      <c r="D1" s="42"/>
    </row>
    <row r="2" spans="1:4" x14ac:dyDescent="0.3">
      <c r="A2" s="42"/>
      <c r="B2" s="42"/>
      <c r="C2" s="42"/>
      <c r="D2" s="42"/>
    </row>
    <row r="3" spans="1:4" x14ac:dyDescent="0.3">
      <c r="A3" s="42"/>
      <c r="B3" s="42"/>
      <c r="C3" s="42"/>
      <c r="D3" s="42"/>
    </row>
    <row r="4" spans="1:4" x14ac:dyDescent="0.3">
      <c r="A4" s="23" t="s">
        <v>34</v>
      </c>
      <c r="B4" s="23" t="s">
        <v>35</v>
      </c>
      <c r="C4" s="23" t="s">
        <v>36</v>
      </c>
      <c r="D4" s="23" t="s">
        <v>37</v>
      </c>
    </row>
    <row r="5" spans="1:4" x14ac:dyDescent="0.3">
      <c r="A5" s="24" t="s">
        <v>38</v>
      </c>
      <c r="B5" s="25" t="s">
        <v>39</v>
      </c>
      <c r="C5" s="25" t="s">
        <v>40</v>
      </c>
      <c r="D5" s="26" t="s">
        <v>41</v>
      </c>
    </row>
    <row r="6" spans="1:4" x14ac:dyDescent="0.3">
      <c r="A6" s="27" t="s">
        <v>42</v>
      </c>
      <c r="B6" s="25" t="s">
        <v>43</v>
      </c>
      <c r="C6" s="25" t="s">
        <v>44</v>
      </c>
      <c r="D6" s="26" t="s">
        <v>45</v>
      </c>
    </row>
    <row r="7" spans="1:4" x14ac:dyDescent="0.3">
      <c r="A7" s="28" t="s">
        <v>46</v>
      </c>
      <c r="B7" s="25" t="s">
        <v>47</v>
      </c>
      <c r="C7" s="25" t="s">
        <v>44</v>
      </c>
      <c r="D7" s="26" t="s">
        <v>48</v>
      </c>
    </row>
    <row r="8" spans="1:4" x14ac:dyDescent="0.3">
      <c r="A8" s="29" t="s">
        <v>49</v>
      </c>
      <c r="B8" s="26" t="s">
        <v>50</v>
      </c>
      <c r="C8" s="26" t="s">
        <v>51</v>
      </c>
      <c r="D8" s="26" t="s">
        <v>52</v>
      </c>
    </row>
    <row r="9" spans="1:4" x14ac:dyDescent="0.3">
      <c r="A9" s="42"/>
      <c r="B9" s="42"/>
      <c r="C9" s="42"/>
      <c r="D9" s="42"/>
    </row>
    <row r="10" spans="1:4" x14ac:dyDescent="0.3">
      <c r="A10" s="42"/>
      <c r="B10" s="42"/>
      <c r="C10" s="42"/>
      <c r="D10" s="42"/>
    </row>
    <row r="11" spans="1:4" ht="15.6" customHeight="1" x14ac:dyDescent="0.3">
      <c r="A11" s="30" t="s">
        <v>53</v>
      </c>
      <c r="B11" s="42"/>
      <c r="C11" s="42"/>
      <c r="D11" s="42"/>
    </row>
    <row r="12" spans="1:4" x14ac:dyDescent="0.3">
      <c r="A12" s="6" t="s">
        <v>54</v>
      </c>
      <c r="B12" s="31">
        <v>46307</v>
      </c>
      <c r="C12" s="42"/>
      <c r="D12" s="42"/>
    </row>
    <row r="13" spans="1:4" x14ac:dyDescent="0.3">
      <c r="A13" s="6" t="s">
        <v>55</v>
      </c>
      <c r="B13" s="31">
        <v>46319</v>
      </c>
      <c r="C13" s="42"/>
      <c r="D13" s="42"/>
    </row>
    <row r="14" spans="1:4" x14ac:dyDescent="0.3">
      <c r="A14" s="6" t="s">
        <v>56</v>
      </c>
      <c r="B14" s="42" t="s">
        <v>57</v>
      </c>
      <c r="C14" s="42"/>
      <c r="D14" s="42"/>
    </row>
    <row r="15" spans="1:4" x14ac:dyDescent="0.3">
      <c r="C15" s="42"/>
      <c r="D15" s="42"/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8"/>
  <sheetViews>
    <sheetView showGridLines="0" workbookViewId="0"/>
  </sheetViews>
  <sheetFormatPr baseColWidth="10" defaultColWidth="8.88671875" defaultRowHeight="14.4" x14ac:dyDescent="0.3"/>
  <cols>
    <col min="1" max="1" width="26" customWidth="1"/>
    <col min="2" max="2" width="30" customWidth="1"/>
    <col min="3" max="6" width="14" customWidth="1"/>
  </cols>
  <sheetData>
    <row r="1" spans="1:6" ht="17.399999999999999" customHeight="1" x14ac:dyDescent="0.3">
      <c r="A1" s="22" t="s">
        <v>58</v>
      </c>
      <c r="B1" s="42"/>
      <c r="C1" s="42"/>
      <c r="D1" s="42"/>
      <c r="E1" s="42"/>
      <c r="F1" s="42"/>
    </row>
    <row r="2" spans="1:6" x14ac:dyDescent="0.3">
      <c r="A2" s="42"/>
      <c r="B2" s="42"/>
      <c r="C2" s="42"/>
      <c r="D2" s="42"/>
      <c r="E2" s="42"/>
      <c r="F2" s="42"/>
    </row>
    <row r="3" spans="1:6" x14ac:dyDescent="0.3">
      <c r="A3" s="42"/>
      <c r="B3" s="42"/>
      <c r="C3" s="42"/>
      <c r="D3" s="42"/>
      <c r="E3" s="42"/>
      <c r="F3" s="42"/>
    </row>
    <row r="4" spans="1:6" ht="30" customHeight="1" x14ac:dyDescent="0.3">
      <c r="A4" s="15" t="s">
        <v>35</v>
      </c>
      <c r="B4" s="15" t="s">
        <v>59</v>
      </c>
      <c r="C4" s="15" t="s">
        <v>60</v>
      </c>
      <c r="D4" s="15" t="s">
        <v>61</v>
      </c>
      <c r="E4" s="15" t="s">
        <v>62</v>
      </c>
      <c r="F4" s="15" t="s">
        <v>63</v>
      </c>
    </row>
    <row r="5" spans="1:6" x14ac:dyDescent="0.3">
      <c r="A5" s="32" t="str">
        <f>Equipo!B5</f>
        <v>Gunther Nettel Rosario</v>
      </c>
      <c r="B5" s="33" t="str">
        <f>Equipo!C5</f>
        <v>Scrum Master - Desarrollador</v>
      </c>
      <c r="C5" s="34">
        <f>COUNTIF(Gantt!$C$9:$C$26,A5)</f>
        <v>4</v>
      </c>
      <c r="D5" s="34">
        <f>SUMPRODUCT((Gantt!$C$9:$C$26=A5)*(Gantt!$E$9:$E$26-Gantt!$D$9:$D$26+1))-COUNTIFS(Gantt!$C$9:$C$26,A5,Gantt!$D$9:$D$26,"&lt;="&amp;DiaSinTrabajo,Gantt!$E$9:$E$26,"&gt;="&amp;DiaSinTrabajo)</f>
        <v>9</v>
      </c>
      <c r="E5" s="35">
        <f>IF(SUM($D$5:$D$7)=0,0,D5/SUM($D$5:$D$7))</f>
        <v>0.32142857142857145</v>
      </c>
      <c r="F5" s="34">
        <f>COUNTIF(Gantt!$C$9:$C$26,Equipo!$B$8)</f>
        <v>5</v>
      </c>
    </row>
    <row r="6" spans="1:6" x14ac:dyDescent="0.3">
      <c r="A6" s="36" t="str">
        <f>Equipo!B6</f>
        <v>Alberto Rasgado</v>
      </c>
      <c r="B6" s="33" t="str">
        <f>Equipo!C6</f>
        <v>Desarrollador</v>
      </c>
      <c r="C6" s="34">
        <f>COUNTIF(Gantt!$C$9:$C$26,A6)</f>
        <v>4</v>
      </c>
      <c r="D6" s="34">
        <f>SUMPRODUCT((Gantt!$C$9:$C$26=A6)*(Gantt!$E$9:$E$26-Gantt!$D$9:$D$26+1))-COUNTIFS(Gantt!$C$9:$C$26,A6,Gantt!$D$9:$D$26,"&lt;="&amp;DiaSinTrabajo,Gantt!$E$9:$E$26,"&gt;="&amp;DiaSinTrabajo)</f>
        <v>10</v>
      </c>
      <c r="E6" s="35">
        <f>IF(SUM($D$5:$D$7)=0,0,D6/SUM($D$5:$D$7))</f>
        <v>0.35714285714285715</v>
      </c>
      <c r="F6" s="34">
        <f>COUNTIF(Gantt!$C$9:$C$26,Equipo!$B$8)</f>
        <v>5</v>
      </c>
    </row>
    <row r="7" spans="1:6" x14ac:dyDescent="0.3">
      <c r="A7" s="37" t="str">
        <f>Equipo!B7</f>
        <v>Ulises Chauk Arias Santiz</v>
      </c>
      <c r="B7" s="33" t="str">
        <f>Equipo!C7</f>
        <v>Desarrollador</v>
      </c>
      <c r="C7" s="34">
        <f>COUNTIF(Gantt!$C$9:$C$26,A7)</f>
        <v>5</v>
      </c>
      <c r="D7" s="34">
        <f>SUMPRODUCT((Gantt!$C$9:$C$26=A7)*(Gantt!$E$9:$E$26-Gantt!$D$9:$D$26+1))-COUNTIFS(Gantt!$C$9:$C$26,A7,Gantt!$D$9:$D$26,"&lt;="&amp;DiaSinTrabajo,Gantt!$E$9:$E$26,"&gt;="&amp;DiaSinTrabajo)</f>
        <v>9</v>
      </c>
      <c r="E7" s="35">
        <f>IF(SUM($D$5:$D$7)=0,0,D7/SUM($D$5:$D$7))</f>
        <v>0.32142857142857145</v>
      </c>
      <c r="F7" s="34">
        <f>COUNTIF(Gantt!$C$9:$C$26,Equipo!$B$8)</f>
        <v>5</v>
      </c>
    </row>
    <row r="8" spans="1:6" x14ac:dyDescent="0.3">
      <c r="A8" s="38" t="s">
        <v>64</v>
      </c>
      <c r="B8" s="17"/>
      <c r="C8" s="39">
        <f>SUM(C5:C7)</f>
        <v>13</v>
      </c>
      <c r="D8" s="39">
        <f>SUM(D5:D7)</f>
        <v>28</v>
      </c>
      <c r="E8" s="40">
        <f>SUM(E5:E7)</f>
        <v>1</v>
      </c>
      <c r="F8" s="39">
        <f>F5</f>
        <v>5</v>
      </c>
    </row>
    <row r="9" spans="1:6" x14ac:dyDescent="0.3">
      <c r="A9" s="42"/>
      <c r="B9" s="42"/>
      <c r="C9" s="42"/>
      <c r="D9" s="42"/>
      <c r="E9" s="42"/>
      <c r="F9" s="42"/>
    </row>
    <row r="10" spans="1:6" x14ac:dyDescent="0.3">
      <c r="A10" s="42"/>
      <c r="B10" s="42"/>
      <c r="C10" s="42"/>
      <c r="D10" s="42"/>
      <c r="E10" s="42"/>
      <c r="F10" s="42"/>
    </row>
    <row r="11" spans="1:6" ht="15.6" customHeight="1" x14ac:dyDescent="0.3">
      <c r="A11" s="30" t="s">
        <v>65</v>
      </c>
      <c r="B11" s="42"/>
      <c r="C11" s="42"/>
      <c r="D11" s="42"/>
      <c r="E11" s="42"/>
      <c r="F11" s="42"/>
    </row>
    <row r="12" spans="1:6" ht="30" customHeight="1" x14ac:dyDescent="0.3">
      <c r="A12" s="41" t="s">
        <v>7</v>
      </c>
      <c r="B12" s="41" t="str">
        <f>Equipo!B5</f>
        <v>Gunther Nettel Rosario</v>
      </c>
      <c r="C12" s="41" t="str">
        <f>Equipo!B6</f>
        <v>Alberto Rasgado</v>
      </c>
      <c r="D12" s="41" t="str">
        <f>Equipo!B7</f>
        <v>Ulises Chauk Arias Santiz</v>
      </c>
      <c r="E12" s="41" t="s">
        <v>66</v>
      </c>
      <c r="F12" s="42"/>
    </row>
    <row r="13" spans="1:6" x14ac:dyDescent="0.3">
      <c r="A13" s="38" t="s">
        <v>13</v>
      </c>
      <c r="B13" s="34">
        <f>SUMPRODUCT((Gantt!$A$9:$A$26=$A13)*(Gantt!$C$9:$C$26=B$12)*(Gantt!$E$9:$E$26-Gantt!$D$9:$D$26+1))-COUNTIFS(Gantt!$A$9:$A$26,$A13,Gantt!$C$9:$C$26,B$12,Gantt!$D$9:$D$26,"&lt;="&amp;DiaSinTrabajo,Gantt!$E$9:$E$26,"&gt;="&amp;DiaSinTrabajo)</f>
        <v>4</v>
      </c>
      <c r="C13" s="34">
        <f>SUMPRODUCT((Gantt!$A$9:$A$26=$A13)*(Gantt!$C$9:$C$26=C$12)*(Gantt!$E$9:$E$26-Gantt!$D$9:$D$26+1))-COUNTIFS(Gantt!$A$9:$A$26,$A13,Gantt!$C$9:$C$26,C$12,Gantt!$D$9:$D$26,"&lt;="&amp;DiaSinTrabajo,Gantt!$E$9:$E$26,"&gt;="&amp;DiaSinTrabajo)</f>
        <v>5</v>
      </c>
      <c r="D13" s="34">
        <f>SUMPRODUCT((Gantt!$A$9:$A$26=$A13)*(Gantt!$C$9:$C$26=D$12)*(Gantt!$E$9:$E$26-Gantt!$D$9:$D$26+1))-COUNTIFS(Gantt!$A$9:$A$26,$A13,Gantt!$C$9:$C$26,D$12,Gantt!$D$9:$D$26,"&lt;="&amp;DiaSinTrabajo,Gantt!$E$9:$E$26,"&gt;="&amp;DiaSinTrabajo)</f>
        <v>4</v>
      </c>
      <c r="E13" s="39">
        <f>SUM(B13:D13)</f>
        <v>13</v>
      </c>
      <c r="F13" s="42"/>
    </row>
    <row r="14" spans="1:6" x14ac:dyDescent="0.3">
      <c r="A14" s="38" t="s">
        <v>22</v>
      </c>
      <c r="B14" s="34">
        <f>SUMPRODUCT((Gantt!$A$9:$A$26=$A14)*(Gantt!$C$9:$C$26=B$12)*(Gantt!$E$9:$E$26-Gantt!$D$9:$D$26+1))-COUNTIFS(Gantt!$A$9:$A$26,$A14,Gantt!$C$9:$C$26,B$12,Gantt!$D$9:$D$26,"&lt;="&amp;DiaSinTrabajo,Gantt!$E$9:$E$26,"&gt;="&amp;DiaSinTrabajo)</f>
        <v>5</v>
      </c>
      <c r="C14" s="34">
        <f>SUMPRODUCT((Gantt!$A$9:$A$26=$A14)*(Gantt!$C$9:$C$26=C$12)*(Gantt!$E$9:$E$26-Gantt!$D$9:$D$26+1))-COUNTIFS(Gantt!$A$9:$A$26,$A14,Gantt!$C$9:$C$26,C$12,Gantt!$D$9:$D$26,"&lt;="&amp;DiaSinTrabajo,Gantt!$E$9:$E$26,"&gt;="&amp;DiaSinTrabajo)</f>
        <v>5</v>
      </c>
      <c r="D14" s="34">
        <f>SUMPRODUCT((Gantt!$A$9:$A$26=$A14)*(Gantt!$C$9:$C$26=D$12)*(Gantt!$E$9:$E$26-Gantt!$D$9:$D$26+1))-COUNTIFS(Gantt!$A$9:$A$26,$A14,Gantt!$C$9:$C$26,D$12,Gantt!$D$9:$D$26,"&lt;="&amp;DiaSinTrabajo,Gantt!$E$9:$E$26,"&gt;="&amp;DiaSinTrabajo)</f>
        <v>5</v>
      </c>
      <c r="E14" s="39">
        <f>SUM(B14:D14)</f>
        <v>15</v>
      </c>
      <c r="F14" s="42"/>
    </row>
    <row r="15" spans="1:6" x14ac:dyDescent="0.3">
      <c r="A15" s="38" t="s">
        <v>64</v>
      </c>
      <c r="B15" s="39">
        <f>SUM(B13:B14)</f>
        <v>9</v>
      </c>
      <c r="C15" s="39">
        <f>SUM(C13:C14)</f>
        <v>10</v>
      </c>
      <c r="D15" s="39">
        <f>SUM(D13:D14)</f>
        <v>9</v>
      </c>
      <c r="E15" s="39">
        <f>SUM(E13:E14)</f>
        <v>28</v>
      </c>
      <c r="F15" s="42"/>
    </row>
    <row r="16" spans="1:6" x14ac:dyDescent="0.3">
      <c r="F16" s="42"/>
    </row>
    <row r="17" spans="6:6" x14ac:dyDescent="0.3">
      <c r="F17" s="42"/>
    </row>
    <row r="18" spans="6:6" x14ac:dyDescent="0.3">
      <c r="F18" s="42"/>
    </row>
  </sheetData>
  <pageMargins left="0.75" right="0.75" top="1" bottom="1" header="0.5" footer="0.5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Gantt</vt:lpstr>
      <vt:lpstr>Equipo</vt:lpstr>
      <vt:lpstr>Carga de trabajo</vt:lpstr>
      <vt:lpstr>Gantt!Títulos_a_imprimir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Gunther Nettel Rosario</cp:lastModifiedBy>
  <dcterms:created xsi:type="dcterms:W3CDTF">2026-09-26T17:36:12Z</dcterms:created>
  <dcterms:modified xsi:type="dcterms:W3CDTF">2026-10-25T01:09:18Z</dcterms:modified>
</cp:coreProperties>
</file>