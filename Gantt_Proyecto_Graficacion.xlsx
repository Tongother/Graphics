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tte\AppData\Local\Temp\claude\c--Users-nette-OneDrive-Documentos-Escuela-8vo-semestre-Graficaci-n-code\48bef41f-16ed-4090-9724-8ab7f9e359ee\scratchpad\"/>
    </mc:Choice>
  </mc:AlternateContent>
  <xr:revisionPtr revIDLastSave="0" documentId="13_ncr:1_{74052D4F-ACCA-4033-A08E-6DF05653D10F}" xr6:coauthVersionLast="47" xr6:coauthVersionMax="47" xr10:uidLastSave="{00000000-0000-0000-0000-000000000000}"/>
  <bookViews>
    <workbookView xWindow="5760" yWindow="1776" windowWidth="17280" windowHeight="9420" xr2:uid="{00000000-000D-0000-FFFF-FFFF00000000}"/>
  </bookViews>
  <sheets>
    <sheet name="Gantt" sheetId="1" r:id="rId1"/>
    <sheet name="Equipo" sheetId="2" r:id="rId2"/>
    <sheet name="Carga de trabajo" sheetId="3" r:id="rId3"/>
  </sheets>
  <definedNames>
    <definedName name="DiaSinTrabajo">46281</definedName>
    <definedName name="Print_Titles" localSheetId="0">Gantt!$5:$8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3" l="1"/>
  <c r="C12" i="3"/>
  <c r="B12" i="3"/>
  <c r="B7" i="3"/>
  <c r="A7" i="3"/>
  <c r="B6" i="3"/>
  <c r="A6" i="3"/>
  <c r="B5" i="3"/>
  <c r="A5" i="3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B13" i="3" s="1"/>
  <c r="C11" i="1"/>
  <c r="C10" i="1"/>
  <c r="C9" i="1"/>
  <c r="H8" i="1"/>
  <c r="I8" i="1" s="1"/>
  <c r="B7" i="1"/>
  <c r="B6" i="1"/>
  <c r="B5" i="1"/>
  <c r="B4" i="1"/>
  <c r="D3" i="1"/>
  <c r="B3" i="1"/>
  <c r="H7" i="1" l="1"/>
  <c r="C15" i="3"/>
  <c r="D17" i="3"/>
  <c r="D16" i="3"/>
  <c r="D7" i="3"/>
  <c r="C13" i="3"/>
  <c r="D13" i="3"/>
  <c r="B14" i="3"/>
  <c r="C14" i="3"/>
  <c r="D14" i="3"/>
  <c r="B15" i="3"/>
  <c r="D15" i="3"/>
  <c r="B16" i="3"/>
  <c r="C16" i="3"/>
  <c r="B17" i="3"/>
  <c r="D5" i="3"/>
  <c r="C17" i="3"/>
  <c r="D6" i="3"/>
  <c r="F6" i="3"/>
  <c r="J8" i="1"/>
  <c r="I7" i="1"/>
  <c r="F7" i="3"/>
  <c r="C5" i="3"/>
  <c r="F5" i="3"/>
  <c r="F8" i="3" s="1"/>
  <c r="C6" i="3"/>
  <c r="C7" i="3"/>
  <c r="E7" i="3" l="1"/>
  <c r="D8" i="3"/>
  <c r="E5" i="3"/>
  <c r="E6" i="3"/>
  <c r="E14" i="3"/>
  <c r="E16" i="3"/>
  <c r="C8" i="3"/>
  <c r="D18" i="3"/>
  <c r="J7" i="1"/>
  <c r="K8" i="1"/>
  <c r="B18" i="3"/>
  <c r="E13" i="3"/>
  <c r="E15" i="3"/>
  <c r="C18" i="3"/>
  <c r="E17" i="3"/>
  <c r="E8" i="3" l="1"/>
  <c r="E18" i="3"/>
  <c r="K7" i="1"/>
  <c r="L8" i="1"/>
  <c r="L7" i="1" l="1"/>
  <c r="M8" i="1"/>
  <c r="M7" i="1" l="1"/>
  <c r="N8" i="1"/>
  <c r="N7" i="1" l="1"/>
  <c r="O8" i="1"/>
  <c r="P8" i="1" l="1"/>
  <c r="O7" i="1"/>
  <c r="Q8" i="1" l="1"/>
  <c r="P7" i="1"/>
  <c r="R8" i="1" l="1"/>
  <c r="Q7" i="1"/>
  <c r="S8" i="1" l="1"/>
  <c r="R7" i="1"/>
  <c r="S7" i="1" l="1"/>
  <c r="T8" i="1"/>
  <c r="T7" i="1" l="1"/>
  <c r="U8" i="1"/>
  <c r="U7" i="1" l="1"/>
  <c r="V8" i="1"/>
  <c r="W8" i="1" l="1"/>
  <c r="V7" i="1"/>
  <c r="W7" i="1" l="1"/>
  <c r="X8" i="1"/>
  <c r="Y8" i="1" l="1"/>
  <c r="X7" i="1"/>
  <c r="Z8" i="1" l="1"/>
  <c r="Y7" i="1"/>
  <c r="Z7" i="1" l="1"/>
  <c r="AA8" i="1"/>
  <c r="AA7" i="1" l="1"/>
  <c r="AB8" i="1"/>
  <c r="AB7" i="1" l="1"/>
  <c r="AC8" i="1"/>
  <c r="AC7" i="1" l="1"/>
  <c r="AD8" i="1"/>
  <c r="AE8" i="1" l="1"/>
  <c r="AD7" i="1"/>
  <c r="AF8" i="1" l="1"/>
  <c r="AE7" i="1"/>
  <c r="AG8" i="1" l="1"/>
  <c r="AF7" i="1"/>
  <c r="AH8" i="1" l="1"/>
  <c r="AG7" i="1"/>
  <c r="AI8" i="1" l="1"/>
  <c r="AH7" i="1"/>
  <c r="AJ8" i="1" l="1"/>
  <c r="AI7" i="1"/>
  <c r="AJ7" i="1" l="1"/>
  <c r="AK8" i="1"/>
  <c r="AK7" i="1" l="1"/>
  <c r="AL8" i="1"/>
  <c r="AL7" i="1" l="1"/>
  <c r="AM8" i="1"/>
  <c r="AM7" i="1" l="1"/>
  <c r="AN8" i="1"/>
  <c r="AO8" i="1" l="1"/>
  <c r="AN7" i="1"/>
  <c r="AP8" i="1" l="1"/>
  <c r="AO7" i="1"/>
  <c r="AP7" i="1" l="1"/>
  <c r="AQ8" i="1"/>
  <c r="AQ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Gunther Nettel Rosario</author>
  </authors>
  <commentList>
    <comment ref="D4" authorId="0" shapeId="0" xr:uid="{30A4088F-C321-493D-B3B6-C93CB675AF91}">
      <text>
        <r>
          <rPr>
            <b/>
            <sz val="9"/>
            <color indexed="81"/>
            <rFont val="Tahoma"/>
            <charset val="1"/>
          </rPr>
          <t>Días de inicio a fin de cada tarea, sin contar el 16/09/2026 (día vacío en el Gantt). Las tareas caen de lunes a viernes.</t>
        </r>
      </text>
    </comment>
  </commentList>
</comments>
</file>

<file path=xl/sharedStrings.xml><?xml version="1.0" encoding="utf-8"?>
<sst xmlns="http://schemas.openxmlformats.org/spreadsheetml/2006/main" count="167" uniqueCount="92">
  <si>
    <t>Diagrama de Gantt · Proyecto de Computación Gráfica (Visualizador de Rectas)</t>
  </si>
  <si>
    <t>Metodología Scrum · 5 sprints semanales - Aplicación de escritorio en Python (CustomTkinter + Matplotlib)</t>
  </si>
  <si>
    <t>Inicio:</t>
  </si>
  <si>
    <t>Fin:</t>
  </si>
  <si>
    <t>Fin de semana</t>
  </si>
  <si>
    <t>Agosto 2026</t>
  </si>
  <si>
    <t>Septiembre 2026</t>
  </si>
  <si>
    <t>Sem 1 · Sprint 0</t>
  </si>
  <si>
    <t>Sem 2 · Sprint 1</t>
  </si>
  <si>
    <t>Sem 3 · Sprint 2</t>
  </si>
  <si>
    <t>Sem 4 · Sprint 3</t>
  </si>
  <si>
    <t>Sem 5 · Sprint 4</t>
  </si>
  <si>
    <t>Ent.</t>
  </si>
  <si>
    <t>Sprint</t>
  </si>
  <si>
    <t>Tarea</t>
  </si>
  <si>
    <t>Responsable</t>
  </si>
  <si>
    <t>Inicio</t>
  </si>
  <si>
    <t>Fin</t>
  </si>
  <si>
    <t>Estado</t>
  </si>
  <si>
    <t>Sprint 0</t>
  </si>
  <si>
    <t>Completado</t>
  </si>
  <si>
    <t>Kick-off, requerimientos y Product Backlog</t>
  </si>
  <si>
    <t>Investigación: pendiente, ecuación y trazo de rectas</t>
  </si>
  <si>
    <t>Selección de stack (CustomTkinter, Matplotlib, CTkTable) y entorno virtual</t>
  </si>
  <si>
    <t>Configuración del repositorio Git y estructura de carpetas</t>
  </si>
  <si>
    <t>Wireframes de la interfaz (sidebar, plano, tabla, tarjetas)</t>
  </si>
  <si>
    <t>Sprint Review y Retrospectiva</t>
  </si>
  <si>
    <t>Sprint 1</t>
  </si>
  <si>
    <t>Sprint Planning</t>
  </si>
  <si>
    <t>Ventana principal: layout en grid y tema visual</t>
  </si>
  <si>
    <t>Barra lateral con botones de navegación</t>
  </si>
  <si>
    <t>Gestor de páginas y listeners de navegación</t>
  </si>
  <si>
    <t>Sistema de iconos vectoriales (PIL + CTkImage, supersampling)</t>
  </si>
  <si>
    <t>Página "Módulo Futuro"</t>
  </si>
  <si>
    <t>Sprint 2</t>
  </si>
  <si>
    <t>Funciones de pendiente, ordenada, ecuación y dirección</t>
  </si>
  <si>
    <t>Generación de puntos de la trayectoria</t>
  </si>
  <si>
    <t>Plano cartesiano Matplotlib (ejes, escala 1:1, render)</t>
  </si>
  <si>
    <t>Formulario de entrada (x1, y1, x2, y2) y botones Calcular / Limpiar</t>
  </si>
  <si>
    <t>Tarjetas de datos analíticos (pendiente, ecuación, incrementos)</t>
  </si>
  <si>
    <t>Integración cálculo ↔ gráfica</t>
  </si>
  <si>
    <t>Sprint 3</t>
  </si>
  <si>
    <t>Tabla CTkTable con los puntos y pasos de la recta</t>
  </si>
  <si>
    <t>Clasificación: 4 positivos, 4 negativos y 3 especiales (clasificar_recta)</t>
  </si>
  <si>
    <t>Recta vertical y punto único: cálculo y dibujo</t>
  </si>
  <si>
    <t>Pruebas unitarias de la lógica y de todos los casos de trazo</t>
  </si>
  <si>
    <t>Validación de entradas y manejo de errores</t>
  </si>
  <si>
    <t>Franja «Caso detectado» en la interfaz</t>
  </si>
  <si>
    <t>Sprint 4</t>
  </si>
  <si>
    <t>Rediseño visual: esquinas redondeadas, paleta y tipografía</t>
  </si>
  <si>
    <t>Ecuaciones simplificadas (y = x, y = 2, x = 3)</t>
  </si>
  <si>
    <t>Modo Oscuro / Claro con CTkSwitch y sincronización del plano</t>
  </si>
  <si>
    <t>Plano predominante (&gt;80 %) y ajuste responsivo</t>
  </si>
  <si>
    <t>Pruebas de navegación, interacción y regresión</t>
  </si>
  <si>
    <t>Documentación final (README)</t>
  </si>
  <si>
    <t>Sprint Review y Retrospectiva final</t>
  </si>
  <si>
    <t>Entrega</t>
  </si>
  <si>
    <t>Cierre del proyecto (entrega: 26/09/2026)</t>
  </si>
  <si>
    <t>Equipo del proyecto y parámetros</t>
  </si>
  <si>
    <t>Clave</t>
  </si>
  <si>
    <t>Integrante</t>
  </si>
  <si>
    <t>Rol en Scrum</t>
  </si>
  <si>
    <t>Responsabilidades principales</t>
  </si>
  <si>
    <t>P1</t>
  </si>
  <si>
    <t>Gunther Nettel Rosario</t>
  </si>
  <si>
    <t>Scrum Master - Desarrollador</t>
  </si>
  <si>
    <t>Arquitectura (main.py), plano cartesiano Matplotlib, recta vertical y punto único, repositorio, pruebas automatizadas</t>
  </si>
  <si>
    <t>P2</t>
  </si>
  <si>
    <t>Alberto Rasgado</t>
  </si>
  <si>
    <t>Desarrollador</t>
  </si>
  <si>
    <t>Lógica matemática de la recta, trayectoria, tabla CTkTable, clasificación de casos (4 positivos, 4 negativos, 3 especiales), rediseño visual</t>
  </si>
  <si>
    <t>P3</t>
  </si>
  <si>
    <t>Ulises Chauk Arias Santiz</t>
  </si>
  <si>
    <t>Navegación, iconos vectoriales, formulario, tarjetas analíticas, franja de caso detectado, temas, documentación</t>
  </si>
  <si>
    <t>EQ</t>
  </si>
  <si>
    <t>Todo el equipo</t>
  </si>
  <si>
    <t>—</t>
  </si>
  <si>
    <t>Ceremonias Scrum (planning, review, retro) y entrega</t>
  </si>
  <si>
    <t>Parámetros del proyecto</t>
  </si>
  <si>
    <t>Fecha de inicio</t>
  </si>
  <si>
    <t>Fecha de fin</t>
  </si>
  <si>
    <t>Metodología</t>
  </si>
  <si>
    <t>Scrum - sprints de 1 semana (lun–vie)</t>
  </si>
  <si>
    <t>Distribución de la carga de trabajo</t>
  </si>
  <si>
    <t>Rol</t>
  </si>
  <si>
    <t>Tareas asignadas</t>
  </si>
  <si>
    <t>Días en tareas</t>
  </si>
  <si>
    <t>% de la carga</t>
  </si>
  <si>
    <t>Reuniones de equipo</t>
  </si>
  <si>
    <t>Total</t>
  </si>
  <si>
    <t>Días en tareas por sprint</t>
  </si>
  <si>
    <t>Total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</si>
</sst>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dd/mm/yy"/>
    <numFmt numFmtId="166" formatCode="0.0%"/>
  </numFmts>
  <fonts count="1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5"/>
      <color rgb="FF000000"/>
      <name val="Arial"/>
    </font>
    <font>
      <i/>
      <sz val="10"/>
      <color rgb="FF6B7280"/>
      <name val="Arial"/>
    </font>
    <font>
      <sz val="10"/>
      <color rgb="FF008000"/>
      <name val="Arial"/>
    </font>
    <font>
      <sz val="9"/>
      <color rgb="FF008000"/>
      <name val="Arial"/>
    </font>
    <font>
      <sz val="9"/>
      <color rgb="FF000000"/>
      <name val="Arial"/>
    </font>
    <font>
      <b/>
      <sz val="8"/>
      <color rgb="FFFFFFFF"/>
      <name val="Arial"/>
    </font>
    <font>
      <b/>
      <sz val="8"/>
      <color rgb="FF374151"/>
      <name val="Arial"/>
    </font>
    <font>
      <b/>
      <sz val="9"/>
      <color rgb="FFFFFFFF"/>
      <name val="Arial"/>
    </font>
    <font>
      <b/>
      <sz val="8"/>
      <color rgb="FF111827"/>
      <name val="Arial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1BAF7A"/>
        <bgColor rgb="FF1BAF7A"/>
      </patternFill>
    </fill>
    <fill>
      <patternFill patternType="solid">
        <fgColor rgb="FF7C8795"/>
        <bgColor rgb="FF7C8795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374151"/>
        <bgColor rgb="FF374151"/>
      </patternFill>
    </fill>
    <fill>
      <patternFill patternType="solid">
        <fgColor rgb="FFD1D5DB"/>
        <bgColor rgb="FFD1D5D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7" fillId="0" borderId="0" xfId="0" applyFont="1"/>
    <xf numFmtId="0" fontId="1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0" fontId="16" fillId="3" borderId="1" xfId="0" applyFont="1" applyFill="1" applyBorder="1"/>
    <xf numFmtId="0" fontId="10" fillId="0" borderId="0" xfId="0" applyFont="1"/>
    <xf numFmtId="0" fontId="11" fillId="0" borderId="0" xfId="0" applyFont="1"/>
    <xf numFmtId="0" fontId="16" fillId="4" borderId="1" xfId="0" applyFont="1" applyFill="1" applyBorder="1"/>
    <xf numFmtId="0" fontId="16" fillId="7" borderId="1" xfId="0" applyFont="1" applyFill="1" applyBorder="1"/>
    <xf numFmtId="0" fontId="16" fillId="5" borderId="1" xfId="0" applyFont="1" applyFill="1" applyBorder="1"/>
    <xf numFmtId="0" fontId="15" fillId="10" borderId="0" xfId="0" applyFont="1" applyFill="1" applyAlignment="1">
      <alignment horizontal="center"/>
    </xf>
    <xf numFmtId="0" fontId="16" fillId="6" borderId="1" xfId="0" applyFont="1" applyFill="1" applyBorder="1"/>
    <xf numFmtId="0" fontId="13" fillId="8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/>
    </xf>
    <xf numFmtId="0" fontId="16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5" fontId="3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/>
    <xf numFmtId="0" fontId="2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0" borderId="0" xfId="0" applyFont="1"/>
    <xf numFmtId="14" fontId="3" fillId="0" borderId="0" xfId="0" applyNumberFormat="1" applyFont="1"/>
    <xf numFmtId="0" fontId="4" fillId="3" borderId="2" xfId="0" applyFont="1" applyFill="1" applyBorder="1"/>
    <xf numFmtId="0" fontId="9" fillId="0" borderId="2" xfId="0" applyFont="1" applyBorder="1"/>
    <xf numFmtId="0" fontId="16" fillId="0" borderId="2" xfId="0" applyFont="1" applyBorder="1" applyAlignment="1">
      <alignment horizontal="center"/>
    </xf>
    <xf numFmtId="166" fontId="16" fillId="0" borderId="2" xfId="0" applyNumberFormat="1" applyFont="1" applyBorder="1" applyAlignment="1">
      <alignment horizontal="center"/>
    </xf>
    <xf numFmtId="0" fontId="4" fillId="4" borderId="2" xfId="0" applyFont="1" applyFill="1" applyBorder="1"/>
    <xf numFmtId="0" fontId="4" fillId="5" borderId="2" xfId="0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15" fillId="10" borderId="0" xfId="0" applyFont="1" applyFill="1" applyAlignment="1">
      <alignment horizontal="center"/>
    </xf>
    <xf numFmtId="0" fontId="16" fillId="0" borderId="0" xfId="0" applyFont="1"/>
    <xf numFmtId="0" fontId="15" fillId="7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</cellXfs>
  <cellStyles count="1">
    <cellStyle name="Normal" xfId="0" builtinId="0"/>
  </cellStyles>
  <dxfs count="9">
    <dxf>
      <fill>
        <patternFill>
          <bgColor rgb="FFFFFFFF"/>
        </patternFill>
      </fill>
    </dxf>
    <dxf>
      <fill>
        <patternFill patternType="solid">
          <fgColor rgb="FF7C8795"/>
          <bgColor rgb="FF7C8795"/>
        </patternFill>
      </fill>
    </dxf>
    <dxf>
      <fill>
        <patternFill patternType="solid">
          <fgColor rgb="FF1BAF7A"/>
          <bgColor rgb="FF1BAF7A"/>
        </patternFill>
      </fill>
    </dxf>
    <dxf>
      <fill>
        <patternFill patternType="solid">
          <fgColor rgb="FFEB6834"/>
          <bgColor rgb="FFEB6834"/>
        </patternFill>
      </fill>
    </dxf>
    <dxf>
      <fill>
        <patternFill patternType="solid">
          <fgColor rgb="FF2A78D6"/>
          <bgColor rgb="FF2A78D6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FBD5D5"/>
          <bgColor rgb="FFFBD5D5"/>
        </patternFill>
      </fill>
    </dxf>
    <dxf>
      <fill>
        <patternFill patternType="solid">
          <fgColor rgb="FFFBD5D5"/>
          <bgColor rgb="FFFBD5D5"/>
        </patternFill>
      </fill>
    </dxf>
    <dxf>
      <fill>
        <patternFill patternType="solid">
          <fgColor rgb="FFD1D5DB"/>
          <bgColor rgb="FFD1D5D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Días en tareas por sprint e integrante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'Carga de trabajo'!$B$12</c:f>
              <c:strCache>
                <c:ptCount val="1"/>
                <c:pt idx="0">
                  <c:v>Gunther Nettel Rosario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'Carga de trabajo'!$A$13:$A$17</c:f>
              <c:strCache>
                <c:ptCount val="5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'Carga de trabajo'!$B$13:$B$17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FE-4D12-87A9-FFBC4B9810D8}"/>
            </c:ext>
          </c:extLst>
        </c:ser>
        <c:ser>
          <c:idx val="1"/>
          <c:order val="1"/>
          <c:tx>
            <c:strRef>
              <c:f>'Carga de trabajo'!$C$12</c:f>
              <c:strCache>
                <c:ptCount val="1"/>
                <c:pt idx="0">
                  <c:v>Alberto Rasgado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'Carga de trabajo'!$A$13:$A$17</c:f>
              <c:strCache>
                <c:ptCount val="5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'Carga de trabajo'!$C$13:$C$17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FE-4D12-87A9-FFBC4B9810D8}"/>
            </c:ext>
          </c:extLst>
        </c:ser>
        <c:ser>
          <c:idx val="2"/>
          <c:order val="2"/>
          <c:tx>
            <c:strRef>
              <c:f>'Carga de trabajo'!$D$12</c:f>
              <c:strCache>
                <c:ptCount val="1"/>
                <c:pt idx="0">
                  <c:v>Ulises Chauk Arias Santiz</c:v>
                </c:pt>
              </c:strCache>
            </c:strRef>
          </c:tx>
          <c:spPr>
            <a:solidFill>
              <a:srgbClr val="1BAF7A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'Carga de trabajo'!$A$13:$A$17</c:f>
              <c:strCache>
                <c:ptCount val="5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'Carga de trabajo'!$D$13:$D$17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FE-4D12-87A9-FFBC4B981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Días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3"/>
  <sheetViews>
    <sheetView showGridLines="0" tabSelected="1" workbookViewId="0">
      <pane xSplit="7" ySplit="8" topLeftCell="H9" activePane="bottomRight" state="frozen"/>
      <selection pane="topRight" activeCell="H1" sqref="H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62" customWidth="1"/>
    <col min="3" max="3" width="24" customWidth="1"/>
    <col min="4" max="5" width="11" customWidth="1"/>
    <col min="6" max="6" width="12" customWidth="1"/>
    <col min="7" max="7" width="2" customWidth="1"/>
    <col min="8" max="43" width="3.33203125" customWidth="1"/>
  </cols>
  <sheetData>
    <row r="1" spans="1:43" ht="19.2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3">
      <c r="A3" s="4" t="s">
        <v>2</v>
      </c>
      <c r="B3" s="5">
        <f>Equipo!B12</f>
        <v>46251</v>
      </c>
      <c r="C3" s="6" t="s">
        <v>3</v>
      </c>
      <c r="D3" s="5">
        <f>Equipo!B13</f>
        <v>46286</v>
      </c>
      <c r="E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3">
      <c r="A4" s="8"/>
      <c r="B4" s="9" t="str">
        <f>Equipo!B5</f>
        <v>Gunther Nettel Rosario</v>
      </c>
      <c r="C4" s="2"/>
      <c r="D4" s="12"/>
      <c r="E4" s="10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x14ac:dyDescent="0.3">
      <c r="A5" s="11"/>
      <c r="B5" s="9" t="str">
        <f>Equipo!B6</f>
        <v>Alberto Rasgado</v>
      </c>
      <c r="C5" s="2"/>
      <c r="F5" s="2"/>
      <c r="G5" s="2"/>
      <c r="H5" s="47" t="s">
        <v>5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7" t="s">
        <v>6</v>
      </c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</row>
    <row r="6" spans="1:43" x14ac:dyDescent="0.3">
      <c r="A6" s="13"/>
      <c r="B6" s="9" t="str">
        <f>Equipo!B7</f>
        <v>Ulises Chauk Arias Santiz</v>
      </c>
      <c r="C6" s="2"/>
      <c r="F6" s="2"/>
      <c r="G6" s="2"/>
      <c r="H6" s="46" t="s">
        <v>7</v>
      </c>
      <c r="I6" s="45"/>
      <c r="J6" s="45"/>
      <c r="K6" s="45"/>
      <c r="L6" s="45"/>
      <c r="M6" s="45"/>
      <c r="N6" s="45"/>
      <c r="O6" s="44" t="s">
        <v>8</v>
      </c>
      <c r="P6" s="45"/>
      <c r="Q6" s="45"/>
      <c r="R6" s="45"/>
      <c r="S6" s="45"/>
      <c r="T6" s="45"/>
      <c r="U6" s="45"/>
      <c r="V6" s="46" t="s">
        <v>9</v>
      </c>
      <c r="W6" s="45"/>
      <c r="X6" s="45"/>
      <c r="Y6" s="45"/>
      <c r="Z6" s="45"/>
      <c r="AA6" s="45"/>
      <c r="AB6" s="45"/>
      <c r="AC6" s="44" t="s">
        <v>10</v>
      </c>
      <c r="AD6" s="45"/>
      <c r="AE6" s="45"/>
      <c r="AF6" s="45"/>
      <c r="AG6" s="45"/>
      <c r="AH6" s="45"/>
      <c r="AI6" s="45"/>
      <c r="AJ6" s="46" t="s">
        <v>11</v>
      </c>
      <c r="AK6" s="45"/>
      <c r="AL6" s="45"/>
      <c r="AM6" s="45"/>
      <c r="AN6" s="45"/>
      <c r="AO6" s="45"/>
      <c r="AP6" s="45"/>
      <c r="AQ6" s="14" t="s">
        <v>12</v>
      </c>
    </row>
    <row r="7" spans="1:43" x14ac:dyDescent="0.3">
      <c r="A7" s="15"/>
      <c r="B7" s="9" t="str">
        <f>Equipo!B8</f>
        <v>Todo el equipo</v>
      </c>
      <c r="C7" s="2"/>
      <c r="D7" s="2"/>
      <c r="E7" s="2"/>
      <c r="F7" s="2"/>
      <c r="G7" s="2"/>
      <c r="H7" s="16" t="str">
        <f t="shared" ref="H7:AQ7" si="0">MID("LMXJVSD",WEEKDAY(H8,2),1)</f>
        <v>L</v>
      </c>
      <c r="I7" s="16" t="str">
        <f t="shared" si="0"/>
        <v>M</v>
      </c>
      <c r="J7" s="16" t="str">
        <f t="shared" si="0"/>
        <v>X</v>
      </c>
      <c r="K7" s="16" t="str">
        <f t="shared" si="0"/>
        <v>J</v>
      </c>
      <c r="L7" s="16" t="str">
        <f t="shared" si="0"/>
        <v>V</v>
      </c>
      <c r="M7" s="16" t="str">
        <f t="shared" si="0"/>
        <v>S</v>
      </c>
      <c r="N7" s="16" t="str">
        <f t="shared" si="0"/>
        <v>D</v>
      </c>
      <c r="O7" s="16" t="str">
        <f t="shared" si="0"/>
        <v>L</v>
      </c>
      <c r="P7" s="16" t="str">
        <f t="shared" si="0"/>
        <v>M</v>
      </c>
      <c r="Q7" s="16" t="str">
        <f t="shared" si="0"/>
        <v>X</v>
      </c>
      <c r="R7" s="16" t="str">
        <f t="shared" si="0"/>
        <v>J</v>
      </c>
      <c r="S7" s="16" t="str">
        <f t="shared" si="0"/>
        <v>V</v>
      </c>
      <c r="T7" s="16" t="str">
        <f t="shared" si="0"/>
        <v>S</v>
      </c>
      <c r="U7" s="16" t="str">
        <f t="shared" si="0"/>
        <v>D</v>
      </c>
      <c r="V7" s="16" t="str">
        <f t="shared" si="0"/>
        <v>L</v>
      </c>
      <c r="W7" s="16" t="str">
        <f t="shared" si="0"/>
        <v>M</v>
      </c>
      <c r="X7" s="16" t="str">
        <f t="shared" si="0"/>
        <v>X</v>
      </c>
      <c r="Y7" s="16" t="str">
        <f t="shared" si="0"/>
        <v>J</v>
      </c>
      <c r="Z7" s="16" t="str">
        <f t="shared" si="0"/>
        <v>V</v>
      </c>
      <c r="AA7" s="16" t="str">
        <f t="shared" si="0"/>
        <v>S</v>
      </c>
      <c r="AB7" s="16" t="str">
        <f t="shared" si="0"/>
        <v>D</v>
      </c>
      <c r="AC7" s="16" t="str">
        <f t="shared" si="0"/>
        <v>L</v>
      </c>
      <c r="AD7" s="16" t="str">
        <f t="shared" si="0"/>
        <v>M</v>
      </c>
      <c r="AE7" s="16" t="str">
        <f t="shared" si="0"/>
        <v>X</v>
      </c>
      <c r="AF7" s="16" t="str">
        <f t="shared" si="0"/>
        <v>J</v>
      </c>
      <c r="AG7" s="16" t="str">
        <f t="shared" si="0"/>
        <v>V</v>
      </c>
      <c r="AH7" s="16" t="str">
        <f t="shared" si="0"/>
        <v>S</v>
      </c>
      <c r="AI7" s="16" t="str">
        <f t="shared" si="0"/>
        <v>D</v>
      </c>
      <c r="AJ7" s="16" t="str">
        <f t="shared" si="0"/>
        <v>L</v>
      </c>
      <c r="AK7" s="16" t="str">
        <f t="shared" si="0"/>
        <v>M</v>
      </c>
      <c r="AL7" s="16" t="str">
        <f t="shared" si="0"/>
        <v>X</v>
      </c>
      <c r="AM7" s="16" t="str">
        <f t="shared" si="0"/>
        <v>J</v>
      </c>
      <c r="AN7" s="16" t="str">
        <f t="shared" si="0"/>
        <v>V</v>
      </c>
      <c r="AO7" s="16" t="str">
        <f t="shared" si="0"/>
        <v>S</v>
      </c>
      <c r="AP7" s="16" t="str">
        <f t="shared" si="0"/>
        <v>D</v>
      </c>
      <c r="AQ7" s="16" t="str">
        <f t="shared" si="0"/>
        <v>L</v>
      </c>
    </row>
    <row r="8" spans="1:43" ht="30" customHeight="1" x14ac:dyDescent="0.3">
      <c r="A8" s="17" t="s">
        <v>13</v>
      </c>
      <c r="B8" s="17" t="s">
        <v>14</v>
      </c>
      <c r="C8" s="17" t="s">
        <v>15</v>
      </c>
      <c r="D8" s="17" t="s">
        <v>16</v>
      </c>
      <c r="E8" s="17" t="s">
        <v>17</v>
      </c>
      <c r="F8" s="17" t="s">
        <v>18</v>
      </c>
      <c r="G8" s="2"/>
      <c r="H8" s="18">
        <f>Equipo!$B$12</f>
        <v>46251</v>
      </c>
      <c r="I8" s="18">
        <f t="shared" ref="I8:AQ8" si="1">H8+1</f>
        <v>46252</v>
      </c>
      <c r="J8" s="18">
        <f t="shared" si="1"/>
        <v>46253</v>
      </c>
      <c r="K8" s="18">
        <f t="shared" si="1"/>
        <v>46254</v>
      </c>
      <c r="L8" s="18">
        <f t="shared" si="1"/>
        <v>46255</v>
      </c>
      <c r="M8" s="18">
        <f t="shared" si="1"/>
        <v>46256</v>
      </c>
      <c r="N8" s="18">
        <f t="shared" si="1"/>
        <v>46257</v>
      </c>
      <c r="O8" s="18">
        <f t="shared" si="1"/>
        <v>46258</v>
      </c>
      <c r="P8" s="18">
        <f t="shared" si="1"/>
        <v>46259</v>
      </c>
      <c r="Q8" s="18">
        <f t="shared" si="1"/>
        <v>46260</v>
      </c>
      <c r="R8" s="18">
        <f t="shared" si="1"/>
        <v>46261</v>
      </c>
      <c r="S8" s="18">
        <f t="shared" si="1"/>
        <v>46262</v>
      </c>
      <c r="T8" s="18">
        <f t="shared" si="1"/>
        <v>46263</v>
      </c>
      <c r="U8" s="18">
        <f t="shared" si="1"/>
        <v>46264</v>
      </c>
      <c r="V8" s="18">
        <f t="shared" si="1"/>
        <v>46265</v>
      </c>
      <c r="W8" s="18">
        <f t="shared" si="1"/>
        <v>46266</v>
      </c>
      <c r="X8" s="18">
        <f t="shared" si="1"/>
        <v>46267</v>
      </c>
      <c r="Y8" s="18">
        <f t="shared" si="1"/>
        <v>46268</v>
      </c>
      <c r="Z8" s="18">
        <f t="shared" si="1"/>
        <v>46269</v>
      </c>
      <c r="AA8" s="18">
        <f t="shared" si="1"/>
        <v>46270</v>
      </c>
      <c r="AB8" s="18">
        <f t="shared" si="1"/>
        <v>46271</v>
      </c>
      <c r="AC8" s="18">
        <f t="shared" si="1"/>
        <v>46272</v>
      </c>
      <c r="AD8" s="18">
        <f t="shared" si="1"/>
        <v>46273</v>
      </c>
      <c r="AE8" s="18">
        <f t="shared" si="1"/>
        <v>46274</v>
      </c>
      <c r="AF8" s="18">
        <f t="shared" si="1"/>
        <v>46275</v>
      </c>
      <c r="AG8" s="18">
        <f t="shared" si="1"/>
        <v>46276</v>
      </c>
      <c r="AH8" s="18">
        <f t="shared" si="1"/>
        <v>46277</v>
      </c>
      <c r="AI8" s="18">
        <f t="shared" si="1"/>
        <v>46278</v>
      </c>
      <c r="AJ8" s="18">
        <f t="shared" si="1"/>
        <v>46279</v>
      </c>
      <c r="AK8" s="18">
        <f t="shared" si="1"/>
        <v>46280</v>
      </c>
      <c r="AL8" s="18">
        <f t="shared" si="1"/>
        <v>46281</v>
      </c>
      <c r="AM8" s="18">
        <f t="shared" si="1"/>
        <v>46282</v>
      </c>
      <c r="AN8" s="18">
        <f t="shared" si="1"/>
        <v>46283</v>
      </c>
      <c r="AO8" s="18">
        <f t="shared" si="1"/>
        <v>46284</v>
      </c>
      <c r="AP8" s="18">
        <f t="shared" si="1"/>
        <v>46285</v>
      </c>
      <c r="AQ8" s="18">
        <f t="shared" si="1"/>
        <v>46286</v>
      </c>
    </row>
    <row r="9" spans="1:43" ht="18" customHeight="1" x14ac:dyDescent="0.3">
      <c r="A9" s="20" t="s">
        <v>19</v>
      </c>
      <c r="B9" s="21" t="s">
        <v>21</v>
      </c>
      <c r="C9" s="22" t="str">
        <f>Equipo!$B$8</f>
        <v>Todo el equipo</v>
      </c>
      <c r="D9" s="23">
        <v>46251</v>
      </c>
      <c r="E9" s="23">
        <v>46251</v>
      </c>
      <c r="F9" s="20" t="s">
        <v>20</v>
      </c>
      <c r="G9" s="2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</row>
    <row r="10" spans="1:43" ht="18" customHeight="1" x14ac:dyDescent="0.3">
      <c r="A10" s="20" t="s">
        <v>19</v>
      </c>
      <c r="B10" s="21" t="s">
        <v>22</v>
      </c>
      <c r="C10" s="22" t="str">
        <f>Equipo!$B$6</f>
        <v>Alberto Rasgado</v>
      </c>
      <c r="D10" s="23">
        <v>46252</v>
      </c>
      <c r="E10" s="23">
        <v>46254</v>
      </c>
      <c r="F10" s="20" t="s">
        <v>20</v>
      </c>
      <c r="G10" s="2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 spans="1:43" ht="18" customHeight="1" x14ac:dyDescent="0.3">
      <c r="A11" s="20" t="s">
        <v>19</v>
      </c>
      <c r="B11" s="21" t="s">
        <v>23</v>
      </c>
      <c r="C11" s="22" t="str">
        <f>Equipo!$B$5</f>
        <v>Gunther Nettel Rosario</v>
      </c>
      <c r="D11" s="23">
        <v>46252</v>
      </c>
      <c r="E11" s="23">
        <v>46253</v>
      </c>
      <c r="F11" s="20" t="s">
        <v>20</v>
      </c>
      <c r="G11" s="2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</row>
    <row r="12" spans="1:43" ht="18" customHeight="1" x14ac:dyDescent="0.3">
      <c r="A12" s="20" t="s">
        <v>19</v>
      </c>
      <c r="B12" s="21" t="s">
        <v>24</v>
      </c>
      <c r="C12" s="22" t="str">
        <f>Equipo!$B$5</f>
        <v>Gunther Nettel Rosario</v>
      </c>
      <c r="D12" s="23">
        <v>46254</v>
      </c>
      <c r="E12" s="23">
        <v>46255</v>
      </c>
      <c r="F12" s="20" t="s">
        <v>20</v>
      </c>
      <c r="G12" s="2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 spans="1:43" ht="18" customHeight="1" x14ac:dyDescent="0.3">
      <c r="A13" s="20" t="s">
        <v>19</v>
      </c>
      <c r="B13" s="21" t="s">
        <v>25</v>
      </c>
      <c r="C13" s="22" t="str">
        <f>Equipo!$B$7</f>
        <v>Ulises Chauk Arias Santiz</v>
      </c>
      <c r="D13" s="23">
        <v>46252</v>
      </c>
      <c r="E13" s="23">
        <v>46255</v>
      </c>
      <c r="F13" s="20" t="s">
        <v>20</v>
      </c>
      <c r="G13" s="2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 spans="1:43" ht="18" customHeight="1" x14ac:dyDescent="0.3">
      <c r="A14" s="20" t="s">
        <v>19</v>
      </c>
      <c r="B14" s="21" t="s">
        <v>26</v>
      </c>
      <c r="C14" s="22" t="str">
        <f>Equipo!$B$8</f>
        <v>Todo el equipo</v>
      </c>
      <c r="D14" s="23">
        <v>46255</v>
      </c>
      <c r="E14" s="23">
        <v>46255</v>
      </c>
      <c r="F14" s="20" t="s">
        <v>20</v>
      </c>
      <c r="G14" s="2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 spans="1:43" ht="18" customHeight="1" x14ac:dyDescent="0.3">
      <c r="A15" s="20" t="s">
        <v>27</v>
      </c>
      <c r="B15" s="21" t="s">
        <v>28</v>
      </c>
      <c r="C15" s="22" t="str">
        <f>Equipo!$B$8</f>
        <v>Todo el equipo</v>
      </c>
      <c r="D15" s="23">
        <v>46258</v>
      </c>
      <c r="E15" s="23">
        <v>46258</v>
      </c>
      <c r="F15" s="20" t="s">
        <v>20</v>
      </c>
      <c r="G15" s="2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</row>
    <row r="16" spans="1:43" ht="18" customHeight="1" x14ac:dyDescent="0.3">
      <c r="A16" s="20" t="s">
        <v>27</v>
      </c>
      <c r="B16" s="21" t="s">
        <v>29</v>
      </c>
      <c r="C16" s="22" t="str">
        <f>Equipo!$B$5</f>
        <v>Gunther Nettel Rosario</v>
      </c>
      <c r="D16" s="23">
        <v>46258</v>
      </c>
      <c r="E16" s="23">
        <v>46260</v>
      </c>
      <c r="F16" s="20" t="s">
        <v>20</v>
      </c>
      <c r="G16" s="2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</row>
    <row r="17" spans="1:43" ht="18" customHeight="1" x14ac:dyDescent="0.3">
      <c r="A17" s="20" t="s">
        <v>27</v>
      </c>
      <c r="B17" s="21" t="s">
        <v>30</v>
      </c>
      <c r="C17" s="22" t="str">
        <f>Equipo!$B$5</f>
        <v>Gunther Nettel Rosario</v>
      </c>
      <c r="D17" s="23">
        <v>46261</v>
      </c>
      <c r="E17" s="23">
        <v>46262</v>
      </c>
      <c r="F17" s="20" t="s">
        <v>20</v>
      </c>
      <c r="G17" s="2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</row>
    <row r="18" spans="1:43" ht="18" customHeight="1" x14ac:dyDescent="0.3">
      <c r="A18" s="20" t="s">
        <v>27</v>
      </c>
      <c r="B18" s="21" t="s">
        <v>31</v>
      </c>
      <c r="C18" s="22" t="str">
        <f>Equipo!$B$6</f>
        <v>Alberto Rasgado</v>
      </c>
      <c r="D18" s="23">
        <v>46259</v>
      </c>
      <c r="E18" s="23">
        <v>46262</v>
      </c>
      <c r="F18" s="20" t="s">
        <v>20</v>
      </c>
      <c r="G18" s="2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</row>
    <row r="19" spans="1:43" ht="18" customHeight="1" x14ac:dyDescent="0.3">
      <c r="A19" s="20" t="s">
        <v>27</v>
      </c>
      <c r="B19" s="21" t="s">
        <v>32</v>
      </c>
      <c r="C19" s="22" t="str">
        <f>Equipo!$B$7</f>
        <v>Ulises Chauk Arias Santiz</v>
      </c>
      <c r="D19" s="23">
        <v>46259</v>
      </c>
      <c r="E19" s="23">
        <v>46261</v>
      </c>
      <c r="F19" s="20" t="s">
        <v>20</v>
      </c>
      <c r="G19" s="2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8" customHeight="1" x14ac:dyDescent="0.3">
      <c r="A20" s="20" t="s">
        <v>27</v>
      </c>
      <c r="B20" s="21" t="s">
        <v>33</v>
      </c>
      <c r="C20" s="22" t="str">
        <f>Equipo!$B$7</f>
        <v>Ulises Chauk Arias Santiz</v>
      </c>
      <c r="D20" s="23">
        <v>46262</v>
      </c>
      <c r="E20" s="23">
        <v>46262</v>
      </c>
      <c r="F20" s="20" t="s">
        <v>20</v>
      </c>
      <c r="G20" s="2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8" customHeight="1" x14ac:dyDescent="0.3">
      <c r="A21" s="20" t="s">
        <v>34</v>
      </c>
      <c r="B21" s="21" t="s">
        <v>28</v>
      </c>
      <c r="C21" s="22" t="str">
        <f>Equipo!$B$8</f>
        <v>Todo el equipo</v>
      </c>
      <c r="D21" s="23">
        <v>46265</v>
      </c>
      <c r="E21" s="23">
        <v>46265</v>
      </c>
      <c r="F21" s="20" t="s">
        <v>20</v>
      </c>
      <c r="G21" s="2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 ht="18" customHeight="1" x14ac:dyDescent="0.3">
      <c r="A22" s="20" t="s">
        <v>34</v>
      </c>
      <c r="B22" s="21" t="s">
        <v>35</v>
      </c>
      <c r="C22" s="22" t="str">
        <f>Equipo!$B$6</f>
        <v>Alberto Rasgado</v>
      </c>
      <c r="D22" s="23">
        <v>46266</v>
      </c>
      <c r="E22" s="23">
        <v>46267</v>
      </c>
      <c r="F22" s="20" t="s">
        <v>20</v>
      </c>
      <c r="G22" s="2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</row>
    <row r="23" spans="1:43" ht="18" customHeight="1" x14ac:dyDescent="0.3">
      <c r="A23" s="20" t="s">
        <v>34</v>
      </c>
      <c r="B23" s="21" t="s">
        <v>36</v>
      </c>
      <c r="C23" s="22" t="str">
        <f>Equipo!$B$6</f>
        <v>Alberto Rasgado</v>
      </c>
      <c r="D23" s="23">
        <v>46268</v>
      </c>
      <c r="E23" s="23">
        <v>46269</v>
      </c>
      <c r="F23" s="20" t="s">
        <v>20</v>
      </c>
      <c r="G23" s="2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</row>
    <row r="24" spans="1:43" ht="18" customHeight="1" x14ac:dyDescent="0.3">
      <c r="A24" s="20" t="s">
        <v>34</v>
      </c>
      <c r="B24" s="21" t="s">
        <v>37</v>
      </c>
      <c r="C24" s="22" t="str">
        <f>Equipo!$B$5</f>
        <v>Gunther Nettel Rosario</v>
      </c>
      <c r="D24" s="23">
        <v>46266</v>
      </c>
      <c r="E24" s="23">
        <v>46268</v>
      </c>
      <c r="F24" s="20" t="s">
        <v>20</v>
      </c>
      <c r="G24" s="2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</row>
    <row r="25" spans="1:43" ht="18" customHeight="1" x14ac:dyDescent="0.3">
      <c r="A25" s="20" t="s">
        <v>34</v>
      </c>
      <c r="B25" s="21" t="s">
        <v>38</v>
      </c>
      <c r="C25" s="22" t="str">
        <f>Equipo!$B$7</f>
        <v>Ulises Chauk Arias Santiz</v>
      </c>
      <c r="D25" s="23">
        <v>46266</v>
      </c>
      <c r="E25" s="23">
        <v>46267</v>
      </c>
      <c r="F25" s="20" t="s">
        <v>20</v>
      </c>
      <c r="G25" s="2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</row>
    <row r="26" spans="1:43" ht="18" customHeight="1" x14ac:dyDescent="0.3">
      <c r="A26" s="20" t="s">
        <v>34</v>
      </c>
      <c r="B26" s="21" t="s">
        <v>39</v>
      </c>
      <c r="C26" s="22" t="str">
        <f>Equipo!$B$7</f>
        <v>Ulises Chauk Arias Santiz</v>
      </c>
      <c r="D26" s="23">
        <v>46268</v>
      </c>
      <c r="E26" s="23">
        <v>46269</v>
      </c>
      <c r="F26" s="20" t="s">
        <v>20</v>
      </c>
      <c r="G26" s="2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</row>
    <row r="27" spans="1:43" ht="18" customHeight="1" x14ac:dyDescent="0.3">
      <c r="A27" s="20" t="s">
        <v>34</v>
      </c>
      <c r="B27" s="21" t="s">
        <v>40</v>
      </c>
      <c r="C27" s="22" t="str">
        <f>Equipo!$B$5</f>
        <v>Gunther Nettel Rosario</v>
      </c>
      <c r="D27" s="23">
        <v>46269</v>
      </c>
      <c r="E27" s="23">
        <v>46269</v>
      </c>
      <c r="F27" s="20" t="s">
        <v>20</v>
      </c>
      <c r="G27" s="2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</row>
    <row r="28" spans="1:43" ht="18" customHeight="1" x14ac:dyDescent="0.3">
      <c r="A28" s="20" t="s">
        <v>41</v>
      </c>
      <c r="B28" s="21" t="s">
        <v>28</v>
      </c>
      <c r="C28" s="22" t="str">
        <f>Equipo!$B$8</f>
        <v>Todo el equipo</v>
      </c>
      <c r="D28" s="23">
        <v>46272</v>
      </c>
      <c r="E28" s="23">
        <v>46272</v>
      </c>
      <c r="F28" s="20" t="s">
        <v>20</v>
      </c>
      <c r="G28" s="2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</row>
    <row r="29" spans="1:43" ht="18" customHeight="1" x14ac:dyDescent="0.3">
      <c r="A29" s="20" t="s">
        <v>41</v>
      </c>
      <c r="B29" s="21" t="s">
        <v>42</v>
      </c>
      <c r="C29" s="22" t="str">
        <f>Equipo!$B$6</f>
        <v>Alberto Rasgado</v>
      </c>
      <c r="D29" s="23">
        <v>46272</v>
      </c>
      <c r="E29" s="23">
        <v>46273</v>
      </c>
      <c r="F29" s="20" t="s">
        <v>20</v>
      </c>
      <c r="G29" s="2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</row>
    <row r="30" spans="1:43" ht="18" customHeight="1" x14ac:dyDescent="0.3">
      <c r="A30" s="20" t="s">
        <v>41</v>
      </c>
      <c r="B30" s="21" t="s">
        <v>43</v>
      </c>
      <c r="C30" s="22" t="str">
        <f>Equipo!$B$6</f>
        <v>Alberto Rasgado</v>
      </c>
      <c r="D30" s="23">
        <v>46274</v>
      </c>
      <c r="E30" s="23">
        <v>46276</v>
      </c>
      <c r="F30" s="20" t="s">
        <v>20</v>
      </c>
      <c r="G30" s="2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</row>
    <row r="31" spans="1:43" ht="18" customHeight="1" x14ac:dyDescent="0.3">
      <c r="A31" s="20" t="s">
        <v>41</v>
      </c>
      <c r="B31" s="21" t="s">
        <v>44</v>
      </c>
      <c r="C31" s="22" t="str">
        <f>Equipo!$B$5</f>
        <v>Gunther Nettel Rosario</v>
      </c>
      <c r="D31" s="23">
        <v>46273</v>
      </c>
      <c r="E31" s="23">
        <v>46274</v>
      </c>
      <c r="F31" s="20" t="s">
        <v>20</v>
      </c>
      <c r="G31" s="2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</row>
    <row r="32" spans="1:43" ht="18" customHeight="1" x14ac:dyDescent="0.3">
      <c r="A32" s="20" t="s">
        <v>41</v>
      </c>
      <c r="B32" s="21" t="s">
        <v>45</v>
      </c>
      <c r="C32" s="22" t="str">
        <f>Equipo!$B$5</f>
        <v>Gunther Nettel Rosario</v>
      </c>
      <c r="D32" s="23">
        <v>46275</v>
      </c>
      <c r="E32" s="23">
        <v>46276</v>
      </c>
      <c r="F32" s="20" t="s">
        <v>20</v>
      </c>
      <c r="G32" s="2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</row>
    <row r="33" spans="1:43" ht="18" customHeight="1" x14ac:dyDescent="0.3">
      <c r="A33" s="20" t="s">
        <v>41</v>
      </c>
      <c r="B33" s="21" t="s">
        <v>46</v>
      </c>
      <c r="C33" s="22" t="str">
        <f>Equipo!$B$7</f>
        <v>Ulises Chauk Arias Santiz</v>
      </c>
      <c r="D33" s="23">
        <v>46273</v>
      </c>
      <c r="E33" s="23">
        <v>46274</v>
      </c>
      <c r="F33" s="20" t="s">
        <v>20</v>
      </c>
      <c r="G33" s="2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</row>
    <row r="34" spans="1:43" ht="18" customHeight="1" x14ac:dyDescent="0.3">
      <c r="A34" s="20" t="s">
        <v>41</v>
      </c>
      <c r="B34" s="21" t="s">
        <v>47</v>
      </c>
      <c r="C34" s="22" t="str">
        <f>Equipo!$B$7</f>
        <v>Ulises Chauk Arias Santiz</v>
      </c>
      <c r="D34" s="23">
        <v>46275</v>
      </c>
      <c r="E34" s="23">
        <v>46276</v>
      </c>
      <c r="F34" s="20" t="s">
        <v>20</v>
      </c>
      <c r="G34" s="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</row>
    <row r="35" spans="1:43" ht="18" customHeight="1" x14ac:dyDescent="0.3">
      <c r="A35" s="20" t="s">
        <v>48</v>
      </c>
      <c r="B35" s="21" t="s">
        <v>28</v>
      </c>
      <c r="C35" s="22" t="str">
        <f>Equipo!$B$8</f>
        <v>Todo el equipo</v>
      </c>
      <c r="D35" s="23">
        <v>46279</v>
      </c>
      <c r="E35" s="23">
        <v>46279</v>
      </c>
      <c r="F35" s="20" t="s">
        <v>20</v>
      </c>
      <c r="G35" s="2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</row>
    <row r="36" spans="1:43" ht="18" customHeight="1" x14ac:dyDescent="0.3">
      <c r="A36" s="20" t="s">
        <v>48</v>
      </c>
      <c r="B36" s="21" t="s">
        <v>49</v>
      </c>
      <c r="C36" s="22" t="str">
        <f>Equipo!$B$6</f>
        <v>Alberto Rasgado</v>
      </c>
      <c r="D36" s="23">
        <v>46279</v>
      </c>
      <c r="E36" s="23">
        <v>46282</v>
      </c>
      <c r="F36" s="20" t="s">
        <v>20</v>
      </c>
      <c r="G36" s="2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</row>
    <row r="37" spans="1:43" ht="18" customHeight="1" x14ac:dyDescent="0.3">
      <c r="A37" s="20" t="s">
        <v>48</v>
      </c>
      <c r="B37" s="21" t="s">
        <v>50</v>
      </c>
      <c r="C37" s="22" t="str">
        <f>Equipo!$B$6</f>
        <v>Alberto Rasgado</v>
      </c>
      <c r="D37" s="23">
        <v>46283</v>
      </c>
      <c r="E37" s="23">
        <v>46283</v>
      </c>
      <c r="F37" s="20" t="s">
        <v>20</v>
      </c>
      <c r="G37" s="2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</row>
    <row r="38" spans="1:43" ht="18" customHeight="1" x14ac:dyDescent="0.3">
      <c r="A38" s="20" t="s">
        <v>48</v>
      </c>
      <c r="B38" s="21" t="s">
        <v>51</v>
      </c>
      <c r="C38" s="22" t="str">
        <f>Equipo!$B$7</f>
        <v>Ulises Chauk Arias Santiz</v>
      </c>
      <c r="D38" s="23">
        <v>46279</v>
      </c>
      <c r="E38" s="23">
        <v>46280</v>
      </c>
      <c r="F38" s="20" t="s">
        <v>20</v>
      </c>
      <c r="G38" s="2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</row>
    <row r="39" spans="1:43" ht="18" customHeight="1" x14ac:dyDescent="0.3">
      <c r="A39" s="20" t="s">
        <v>48</v>
      </c>
      <c r="B39" s="21" t="s">
        <v>52</v>
      </c>
      <c r="C39" s="22" t="str">
        <f>Equipo!$B$5</f>
        <v>Gunther Nettel Rosario</v>
      </c>
      <c r="D39" s="23">
        <v>46279</v>
      </c>
      <c r="E39" s="23">
        <v>46280</v>
      </c>
      <c r="F39" s="20" t="s">
        <v>20</v>
      </c>
      <c r="G39" s="2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</row>
    <row r="40" spans="1:43" ht="18" customHeight="1" x14ac:dyDescent="0.3">
      <c r="A40" s="20" t="s">
        <v>48</v>
      </c>
      <c r="B40" s="21" t="s">
        <v>53</v>
      </c>
      <c r="C40" s="22" t="str">
        <f>Equipo!$B$5</f>
        <v>Gunther Nettel Rosario</v>
      </c>
      <c r="D40" s="23">
        <v>46282</v>
      </c>
      <c r="E40" s="23">
        <v>46283</v>
      </c>
      <c r="F40" s="20" t="s">
        <v>20</v>
      </c>
      <c r="G40" s="2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</row>
    <row r="41" spans="1:43" ht="18" customHeight="1" x14ac:dyDescent="0.3">
      <c r="A41" s="20" t="s">
        <v>48</v>
      </c>
      <c r="B41" s="21" t="s">
        <v>54</v>
      </c>
      <c r="C41" s="22" t="str">
        <f>Equipo!$B$7</f>
        <v>Ulises Chauk Arias Santiz</v>
      </c>
      <c r="D41" s="23">
        <v>46282</v>
      </c>
      <c r="E41" s="23">
        <v>46283</v>
      </c>
      <c r="F41" s="20" t="s">
        <v>20</v>
      </c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</row>
    <row r="42" spans="1:43" ht="18" customHeight="1" x14ac:dyDescent="0.3">
      <c r="A42" s="20" t="s">
        <v>48</v>
      </c>
      <c r="B42" s="21" t="s">
        <v>55</v>
      </c>
      <c r="C42" s="22" t="str">
        <f>Equipo!$B$8</f>
        <v>Todo el equipo</v>
      </c>
      <c r="D42" s="23">
        <v>46283</v>
      </c>
      <c r="E42" s="23">
        <v>46283</v>
      </c>
      <c r="F42" s="20" t="s">
        <v>20</v>
      </c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</row>
    <row r="43" spans="1:43" ht="18" customHeight="1" x14ac:dyDescent="0.3">
      <c r="A43" s="20" t="s">
        <v>56</v>
      </c>
      <c r="B43" s="21" t="s">
        <v>57</v>
      </c>
      <c r="C43" s="22" t="str">
        <f>Equipo!$B$8</f>
        <v>Todo el equipo</v>
      </c>
      <c r="D43" s="23">
        <v>46286</v>
      </c>
      <c r="E43" s="23">
        <v>46286</v>
      </c>
      <c r="F43" s="20" t="s">
        <v>20</v>
      </c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</row>
  </sheetData>
  <mergeCells count="7">
    <mergeCell ref="AC6:AI6"/>
    <mergeCell ref="H6:N6"/>
    <mergeCell ref="H5:V5"/>
    <mergeCell ref="W5:AQ5"/>
    <mergeCell ref="AJ6:AP6"/>
    <mergeCell ref="V6:AB6"/>
    <mergeCell ref="O6:U6"/>
  </mergeCells>
  <conditionalFormatting sqref="H7:AQ7">
    <cfRule type="expression" dxfId="8" priority="10">
      <formula>WEEKDAY(H$8,2)&gt;5</formula>
    </cfRule>
  </conditionalFormatting>
  <conditionalFormatting sqref="H9:AQ43">
    <cfRule type="expression" dxfId="5" priority="2" stopIfTrue="1">
      <formula>WEEKDAY(H$8,2)&gt;5</formula>
    </cfRule>
    <cfRule type="expression" dxfId="4" priority="5" stopIfTrue="1">
      <formula>AND($C9=$B$4,AND(H$8&gt;=$D9,H$8&lt;=$E9))</formula>
    </cfRule>
    <cfRule type="expression" dxfId="3" priority="6" stopIfTrue="1">
      <formula>AND($C9=$B$5,AND(H$8&gt;=$D9,H$8&lt;=$E9))</formula>
    </cfRule>
    <cfRule type="expression" dxfId="2" priority="7" stopIfTrue="1">
      <formula>AND($C9=$B$6,AND(H$8&gt;=$D9,H$8&lt;=$E9))</formula>
    </cfRule>
    <cfRule type="expression" dxfId="1" priority="8" stopIfTrue="1">
      <formula>AND($C9=$B$7,AND(H$8&gt;=$D9,H$8&lt;=$E9))</formula>
    </cfRule>
    <cfRule type="expression" dxfId="0" priority="1" stopIfTrue="1">
      <formula>H$8=DiaSinTrabajo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Equipo!$B$5:$B$8</xm:f>
          </x14:formula1>
          <xm:sqref>C9:C43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5"/>
  <sheetViews>
    <sheetView workbookViewId="0"/>
  </sheetViews>
  <sheetFormatPr baseColWidth="10" defaultColWidth="8.88671875" defaultRowHeight="14.4" x14ac:dyDescent="0.3"/>
  <cols>
    <col min="1" max="1" width="16" customWidth="1"/>
    <col min="2" max="2" width="26" customWidth="1"/>
    <col min="3" max="3" width="30" customWidth="1"/>
    <col min="4" max="4" width="80" customWidth="1"/>
  </cols>
  <sheetData>
    <row r="1" spans="1:4" ht="17.399999999999999" x14ac:dyDescent="0.3">
      <c r="A1" s="24" t="s">
        <v>58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5" t="s">
        <v>59</v>
      </c>
      <c r="B4" s="25" t="s">
        <v>60</v>
      </c>
      <c r="C4" s="25" t="s">
        <v>61</v>
      </c>
      <c r="D4" s="25" t="s">
        <v>62</v>
      </c>
    </row>
    <row r="5" spans="1:4" x14ac:dyDescent="0.3">
      <c r="A5" s="26" t="s">
        <v>63</v>
      </c>
      <c r="B5" s="27" t="s">
        <v>64</v>
      </c>
      <c r="C5" s="27" t="s">
        <v>65</v>
      </c>
      <c r="D5" s="28" t="s">
        <v>66</v>
      </c>
    </row>
    <row r="6" spans="1:4" x14ac:dyDescent="0.3">
      <c r="A6" s="29" t="s">
        <v>67</v>
      </c>
      <c r="B6" s="27" t="s">
        <v>68</v>
      </c>
      <c r="C6" s="27" t="s">
        <v>69</v>
      </c>
      <c r="D6" s="28" t="s">
        <v>70</v>
      </c>
    </row>
    <row r="7" spans="1:4" x14ac:dyDescent="0.3">
      <c r="A7" s="30" t="s">
        <v>71</v>
      </c>
      <c r="B7" s="27" t="s">
        <v>72</v>
      </c>
      <c r="C7" s="27" t="s">
        <v>69</v>
      </c>
      <c r="D7" s="28" t="s">
        <v>73</v>
      </c>
    </row>
    <row r="8" spans="1:4" x14ac:dyDescent="0.3">
      <c r="A8" s="31" t="s">
        <v>74</v>
      </c>
      <c r="B8" s="28" t="s">
        <v>75</v>
      </c>
      <c r="C8" s="28" t="s">
        <v>76</v>
      </c>
      <c r="D8" s="28" t="s">
        <v>77</v>
      </c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ht="15.6" x14ac:dyDescent="0.3">
      <c r="A11" s="32" t="s">
        <v>78</v>
      </c>
      <c r="B11" s="2"/>
      <c r="C11" s="2"/>
      <c r="D11" s="2"/>
    </row>
    <row r="12" spans="1:4" x14ac:dyDescent="0.3">
      <c r="A12" s="7" t="s">
        <v>79</v>
      </c>
      <c r="B12" s="33">
        <v>46251</v>
      </c>
      <c r="C12" s="2"/>
      <c r="D12" s="2"/>
    </row>
    <row r="13" spans="1:4" x14ac:dyDescent="0.3">
      <c r="A13" s="7" t="s">
        <v>80</v>
      </c>
      <c r="B13" s="33">
        <v>46286</v>
      </c>
      <c r="C13" s="2"/>
      <c r="D13" s="2"/>
    </row>
    <row r="14" spans="1:4" x14ac:dyDescent="0.3">
      <c r="A14" s="7" t="s">
        <v>81</v>
      </c>
      <c r="B14" s="2" t="s">
        <v>82</v>
      </c>
      <c r="C14" s="2"/>
      <c r="D14" s="2"/>
    </row>
    <row r="15" spans="1:4" x14ac:dyDescent="0.3">
      <c r="C15" s="2"/>
      <c r="D15" s="2"/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8"/>
  <sheetViews>
    <sheetView showGridLines="0" workbookViewId="0"/>
  </sheetViews>
  <sheetFormatPr baseColWidth="10" defaultColWidth="8.88671875" defaultRowHeight="14.4" x14ac:dyDescent="0.3"/>
  <cols>
    <col min="1" max="1" width="26" customWidth="1"/>
    <col min="2" max="2" width="30" customWidth="1"/>
    <col min="3" max="6" width="14" customWidth="1"/>
  </cols>
  <sheetData>
    <row r="1" spans="1:6" ht="17.399999999999999" x14ac:dyDescent="0.3">
      <c r="A1" s="24" t="s">
        <v>83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ht="30" customHeight="1" x14ac:dyDescent="0.3">
      <c r="A4" s="17" t="s">
        <v>60</v>
      </c>
      <c r="B4" s="17" t="s">
        <v>84</v>
      </c>
      <c r="C4" s="17" t="s">
        <v>85</v>
      </c>
      <c r="D4" s="17" t="s">
        <v>86</v>
      </c>
      <c r="E4" s="17" t="s">
        <v>87</v>
      </c>
      <c r="F4" s="17" t="s">
        <v>88</v>
      </c>
    </row>
    <row r="5" spans="1:6" x14ac:dyDescent="0.3">
      <c r="A5" s="34" t="str">
        <f>Equipo!B5</f>
        <v>Gunther Nettel Rosario</v>
      </c>
      <c r="B5" s="35" t="str">
        <f>Equipo!C5</f>
        <v>Scrum Master - Desarrollador</v>
      </c>
      <c r="C5" s="36">
        <f>COUNTIF(Gantt!$C$9:$C$43,A5)</f>
        <v>10</v>
      </c>
      <c r="D5" s="36">
        <f>SUMPRODUCT((Gantt!$C$9:$C$43=A5)*(Gantt!$E$9:$E$43-Gantt!$D$9:$D$43+1))-COUNTIFS(Gantt!$C$9:$C$43,A5,Gantt!$D$9:$D$43,"&lt;="&amp;DiaSinTrabajo,Gantt!$E$9:$E$43,"&gt;="&amp;DiaSinTrabajo)</f>
        <v>21</v>
      </c>
      <c r="E5" s="37">
        <f>IF(SUM($D$5:$D$7)=0,0,D5/SUM($D$5:$D$7))</f>
        <v>0.34426229508196721</v>
      </c>
      <c r="F5" s="36">
        <f>COUNTIF(Gantt!$C$9:$C$43,Equipo!$B$8)</f>
        <v>8</v>
      </c>
    </row>
    <row r="6" spans="1:6" x14ac:dyDescent="0.3">
      <c r="A6" s="38" t="str">
        <f>Equipo!B6</f>
        <v>Alberto Rasgado</v>
      </c>
      <c r="B6" s="35" t="str">
        <f>Equipo!C6</f>
        <v>Desarrollador</v>
      </c>
      <c r="C6" s="36">
        <f>COUNTIF(Gantt!$C$9:$C$43,A6)</f>
        <v>8</v>
      </c>
      <c r="D6" s="36">
        <f>SUMPRODUCT((Gantt!$C$9:$C$43=A6)*(Gantt!$E$9:$E$43-Gantt!$D$9:$D$43+1))-COUNTIFS(Gantt!$C$9:$C$43,A6,Gantt!$D$9:$D$43,"&lt;="&amp;DiaSinTrabajo,Gantt!$E$9:$E$43,"&gt;="&amp;DiaSinTrabajo)</f>
        <v>20</v>
      </c>
      <c r="E6" s="37">
        <f>IF(SUM($D$5:$D$7)=0,0,D6/SUM($D$5:$D$7))</f>
        <v>0.32786885245901637</v>
      </c>
      <c r="F6" s="36">
        <f>COUNTIF(Gantt!$C$9:$C$43,Equipo!$B$8)</f>
        <v>8</v>
      </c>
    </row>
    <row r="7" spans="1:6" x14ac:dyDescent="0.3">
      <c r="A7" s="39" t="str">
        <f>Equipo!B7</f>
        <v>Ulises Chauk Arias Santiz</v>
      </c>
      <c r="B7" s="35" t="str">
        <f>Equipo!C7</f>
        <v>Desarrollador</v>
      </c>
      <c r="C7" s="36">
        <f>COUNTIF(Gantt!$C$9:$C$43,A7)</f>
        <v>9</v>
      </c>
      <c r="D7" s="36">
        <f>SUMPRODUCT((Gantt!$C$9:$C$43=A7)*(Gantt!$E$9:$E$43-Gantt!$D$9:$D$43+1))-COUNTIFS(Gantt!$C$9:$C$43,A7,Gantt!$D$9:$D$43,"&lt;="&amp;DiaSinTrabajo,Gantt!$E$9:$E$43,"&gt;="&amp;DiaSinTrabajo)</f>
        <v>20</v>
      </c>
      <c r="E7" s="37">
        <f>IF(SUM($D$5:$D$7)=0,0,D7/SUM($D$5:$D$7))</f>
        <v>0.32786885245901637</v>
      </c>
      <c r="F7" s="36">
        <f>COUNTIF(Gantt!$C$9:$C$43,Equipo!$B$8)</f>
        <v>8</v>
      </c>
    </row>
    <row r="8" spans="1:6" x14ac:dyDescent="0.3">
      <c r="A8" s="40" t="s">
        <v>89</v>
      </c>
      <c r="B8" s="19"/>
      <c r="C8" s="41">
        <f>SUM(C5:C7)</f>
        <v>27</v>
      </c>
      <c r="D8" s="41">
        <f>SUM(D5:D7)</f>
        <v>61</v>
      </c>
      <c r="E8" s="42">
        <f>SUM(E5:E7)</f>
        <v>1</v>
      </c>
      <c r="F8" s="41">
        <f>F5</f>
        <v>8</v>
      </c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ht="15.6" x14ac:dyDescent="0.3">
      <c r="A11" s="32" t="s">
        <v>90</v>
      </c>
      <c r="B11" s="2"/>
      <c r="C11" s="2"/>
      <c r="D11" s="2"/>
      <c r="E11" s="2"/>
      <c r="F11" s="2"/>
    </row>
    <row r="12" spans="1:6" ht="30" customHeight="1" x14ac:dyDescent="0.3">
      <c r="A12" s="43" t="s">
        <v>13</v>
      </c>
      <c r="B12" s="43" t="str">
        <f>Equipo!B5</f>
        <v>Gunther Nettel Rosario</v>
      </c>
      <c r="C12" s="43" t="str">
        <f>Equipo!B6</f>
        <v>Alberto Rasgado</v>
      </c>
      <c r="D12" s="43" t="str">
        <f>Equipo!B7</f>
        <v>Ulises Chauk Arias Santiz</v>
      </c>
      <c r="E12" s="43" t="s">
        <v>91</v>
      </c>
      <c r="F12" s="2"/>
    </row>
    <row r="13" spans="1:6" x14ac:dyDescent="0.3">
      <c r="A13" s="40" t="s">
        <v>19</v>
      </c>
      <c r="B13" s="36">
        <f>SUMPRODUCT((Gantt!$A$9:$A$43=$A13)*(Gantt!$C$9:$C$43=B$12)*(Gantt!$E$9:$E$43-Gantt!$D$9:$D$43+1))-COUNTIFS(Gantt!$A$9:$A$43,$A13,Gantt!$C$9:$C$43,B$12,Gantt!$D$9:$D$43,"&lt;="&amp;DiaSinTrabajo,Gantt!$E$9:$E$43,"&gt;="&amp;DiaSinTrabajo)</f>
        <v>4</v>
      </c>
      <c r="C13" s="36">
        <f>SUMPRODUCT((Gantt!$A$9:$A$43=$A13)*(Gantt!$C$9:$C$43=C$12)*(Gantt!$E$9:$E$43-Gantt!$D$9:$D$43+1))-COUNTIFS(Gantt!$A$9:$A$43,$A13,Gantt!$C$9:$C$43,C$12,Gantt!$D$9:$D$43,"&lt;="&amp;DiaSinTrabajo,Gantt!$E$9:$E$43,"&gt;="&amp;DiaSinTrabajo)</f>
        <v>3</v>
      </c>
      <c r="D13" s="36">
        <f>SUMPRODUCT((Gantt!$A$9:$A$43=$A13)*(Gantt!$C$9:$C$43=D$12)*(Gantt!$E$9:$E$43-Gantt!$D$9:$D$43+1))-COUNTIFS(Gantt!$A$9:$A$43,$A13,Gantt!$C$9:$C$43,D$12,Gantt!$D$9:$D$43,"&lt;="&amp;DiaSinTrabajo,Gantt!$E$9:$E$43,"&gt;="&amp;DiaSinTrabajo)</f>
        <v>4</v>
      </c>
      <c r="E13" s="41">
        <f>SUM(B13:D13)</f>
        <v>11</v>
      </c>
      <c r="F13" s="2"/>
    </row>
    <row r="14" spans="1:6" x14ac:dyDescent="0.3">
      <c r="A14" s="40" t="s">
        <v>27</v>
      </c>
      <c r="B14" s="36">
        <f>SUMPRODUCT((Gantt!$A$9:$A$43=$A14)*(Gantt!$C$9:$C$43=B$12)*(Gantt!$E$9:$E$43-Gantt!$D$9:$D$43+1))-COUNTIFS(Gantt!$A$9:$A$43,$A14,Gantt!$C$9:$C$43,B$12,Gantt!$D$9:$D$43,"&lt;="&amp;DiaSinTrabajo,Gantt!$E$9:$E$43,"&gt;="&amp;DiaSinTrabajo)</f>
        <v>5</v>
      </c>
      <c r="C14" s="36">
        <f>SUMPRODUCT((Gantt!$A$9:$A$43=$A14)*(Gantt!$C$9:$C$43=C$12)*(Gantt!$E$9:$E$43-Gantt!$D$9:$D$43+1))-COUNTIFS(Gantt!$A$9:$A$43,$A14,Gantt!$C$9:$C$43,C$12,Gantt!$D$9:$D$43,"&lt;="&amp;DiaSinTrabajo,Gantt!$E$9:$E$43,"&gt;="&amp;DiaSinTrabajo)</f>
        <v>4</v>
      </c>
      <c r="D14" s="36">
        <f>SUMPRODUCT((Gantt!$A$9:$A$43=$A14)*(Gantt!$C$9:$C$43=D$12)*(Gantt!$E$9:$E$43-Gantt!$D$9:$D$43+1))-COUNTIFS(Gantt!$A$9:$A$43,$A14,Gantt!$C$9:$C$43,D$12,Gantt!$D$9:$D$43,"&lt;="&amp;DiaSinTrabajo,Gantt!$E$9:$E$43,"&gt;="&amp;DiaSinTrabajo)</f>
        <v>4</v>
      </c>
      <c r="E14" s="41">
        <f>SUM(B14:D14)</f>
        <v>13</v>
      </c>
      <c r="F14" s="2"/>
    </row>
    <row r="15" spans="1:6" x14ac:dyDescent="0.3">
      <c r="A15" s="40" t="s">
        <v>34</v>
      </c>
      <c r="B15" s="36">
        <f>SUMPRODUCT((Gantt!$A$9:$A$43=$A15)*(Gantt!$C$9:$C$43=B$12)*(Gantt!$E$9:$E$43-Gantt!$D$9:$D$43+1))-COUNTIFS(Gantt!$A$9:$A$43,$A15,Gantt!$C$9:$C$43,B$12,Gantt!$D$9:$D$43,"&lt;="&amp;DiaSinTrabajo,Gantt!$E$9:$E$43,"&gt;="&amp;DiaSinTrabajo)</f>
        <v>4</v>
      </c>
      <c r="C15" s="36">
        <f>SUMPRODUCT((Gantt!$A$9:$A$43=$A15)*(Gantt!$C$9:$C$43=C$12)*(Gantt!$E$9:$E$43-Gantt!$D$9:$D$43+1))-COUNTIFS(Gantt!$A$9:$A$43,$A15,Gantt!$C$9:$C$43,C$12,Gantt!$D$9:$D$43,"&lt;="&amp;DiaSinTrabajo,Gantt!$E$9:$E$43,"&gt;="&amp;DiaSinTrabajo)</f>
        <v>4</v>
      </c>
      <c r="D15" s="36">
        <f>SUMPRODUCT((Gantt!$A$9:$A$43=$A15)*(Gantt!$C$9:$C$43=D$12)*(Gantt!$E$9:$E$43-Gantt!$D$9:$D$43+1))-COUNTIFS(Gantt!$A$9:$A$43,$A15,Gantt!$C$9:$C$43,D$12,Gantt!$D$9:$D$43,"&lt;="&amp;DiaSinTrabajo,Gantt!$E$9:$E$43,"&gt;="&amp;DiaSinTrabajo)</f>
        <v>4</v>
      </c>
      <c r="E15" s="41">
        <f>SUM(B15:D15)</f>
        <v>12</v>
      </c>
      <c r="F15" s="2"/>
    </row>
    <row r="16" spans="1:6" x14ac:dyDescent="0.3">
      <c r="A16" s="40" t="s">
        <v>41</v>
      </c>
      <c r="B16" s="36">
        <f>SUMPRODUCT((Gantt!$A$9:$A$43=$A16)*(Gantt!$C$9:$C$43=B$12)*(Gantt!$E$9:$E$43-Gantt!$D$9:$D$43+1))-COUNTIFS(Gantt!$A$9:$A$43,$A16,Gantt!$C$9:$C$43,B$12,Gantt!$D$9:$D$43,"&lt;="&amp;DiaSinTrabajo,Gantt!$E$9:$E$43,"&gt;="&amp;DiaSinTrabajo)</f>
        <v>4</v>
      </c>
      <c r="C16" s="36">
        <f>SUMPRODUCT((Gantt!$A$9:$A$43=$A16)*(Gantt!$C$9:$C$43=C$12)*(Gantt!$E$9:$E$43-Gantt!$D$9:$D$43+1))-COUNTIFS(Gantt!$A$9:$A$43,$A16,Gantt!$C$9:$C$43,C$12,Gantt!$D$9:$D$43,"&lt;="&amp;DiaSinTrabajo,Gantt!$E$9:$E$43,"&gt;="&amp;DiaSinTrabajo)</f>
        <v>5</v>
      </c>
      <c r="D16" s="36">
        <f>SUMPRODUCT((Gantt!$A$9:$A$43=$A16)*(Gantt!$C$9:$C$43=D$12)*(Gantt!$E$9:$E$43-Gantt!$D$9:$D$43+1))-COUNTIFS(Gantt!$A$9:$A$43,$A16,Gantt!$C$9:$C$43,D$12,Gantt!$D$9:$D$43,"&lt;="&amp;DiaSinTrabajo,Gantt!$E$9:$E$43,"&gt;="&amp;DiaSinTrabajo)</f>
        <v>4</v>
      </c>
      <c r="E16" s="41">
        <f>SUM(B16:D16)</f>
        <v>13</v>
      </c>
      <c r="F16" s="2"/>
    </row>
    <row r="17" spans="1:6" x14ac:dyDescent="0.3">
      <c r="A17" s="40" t="s">
        <v>48</v>
      </c>
      <c r="B17" s="36">
        <f>SUMPRODUCT((Gantt!$A$9:$A$43=$A17)*(Gantt!$C$9:$C$43=B$12)*(Gantt!$E$9:$E$43-Gantt!$D$9:$D$43+1))-COUNTIFS(Gantt!$A$9:$A$43,$A17,Gantt!$C$9:$C$43,B$12,Gantt!$D$9:$D$43,"&lt;="&amp;DiaSinTrabajo,Gantt!$E$9:$E$43,"&gt;="&amp;DiaSinTrabajo)</f>
        <v>4</v>
      </c>
      <c r="C17" s="36">
        <f>SUMPRODUCT((Gantt!$A$9:$A$43=$A17)*(Gantt!$C$9:$C$43=C$12)*(Gantt!$E$9:$E$43-Gantt!$D$9:$D$43+1))-COUNTIFS(Gantt!$A$9:$A$43,$A17,Gantt!$C$9:$C$43,C$12,Gantt!$D$9:$D$43,"&lt;="&amp;DiaSinTrabajo,Gantt!$E$9:$E$43,"&gt;="&amp;DiaSinTrabajo)</f>
        <v>4</v>
      </c>
      <c r="D17" s="36">
        <f>SUMPRODUCT((Gantt!$A$9:$A$43=$A17)*(Gantt!$C$9:$C$43=D$12)*(Gantt!$E$9:$E$43-Gantt!$D$9:$D$43+1))-COUNTIFS(Gantt!$A$9:$A$43,$A17,Gantt!$C$9:$C$43,D$12,Gantt!$D$9:$D$43,"&lt;="&amp;DiaSinTrabajo,Gantt!$E$9:$E$43,"&gt;="&amp;DiaSinTrabajo)</f>
        <v>4</v>
      </c>
      <c r="E17" s="41">
        <f>SUM(B17:D17)</f>
        <v>12</v>
      </c>
      <c r="F17" s="2"/>
    </row>
    <row r="18" spans="1:6" x14ac:dyDescent="0.3">
      <c r="A18" s="40" t="s">
        <v>89</v>
      </c>
      <c r="B18" s="41">
        <f>SUM(B13:B17)</f>
        <v>21</v>
      </c>
      <c r="C18" s="41">
        <f>SUM(C13:C17)</f>
        <v>20</v>
      </c>
      <c r="D18" s="41">
        <f>SUM(D13:D17)</f>
        <v>20</v>
      </c>
      <c r="E18" s="41">
        <f>SUM(E13:E17)</f>
        <v>61</v>
      </c>
      <c r="F18" s="2"/>
    </row>
  </sheetData>
  <pageMargins left="0.75" right="0.75" top="1" bottom="1" header="0.5" footer="0.5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Gantt</vt:lpstr>
      <vt:lpstr>Equipo</vt:lpstr>
      <vt:lpstr>Carga de trabajo</vt:lpstr>
      <vt:lpstr>Gantt!Print_Titles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Gunther Nettel Rosario</cp:lastModifiedBy>
  <dcterms:created xsi:type="dcterms:W3CDTF">2026-09-26T17:36:12Z</dcterms:created>
  <dcterms:modified xsi:type="dcterms:W3CDTF">2026-09-26T20:05:13Z</dcterms:modified>
</cp:coreProperties>
</file>